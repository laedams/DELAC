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erte/Desktop/"/>
    </mc:Choice>
  </mc:AlternateContent>
  <xr:revisionPtr revIDLastSave="0" documentId="13_ncr:1_{FD7BC7BB-AFF4-5148-8343-5D24CA2FD977}" xr6:coauthVersionLast="47" xr6:coauthVersionMax="47" xr10:uidLastSave="{00000000-0000-0000-0000-000000000000}"/>
  <bookViews>
    <workbookView xWindow="-4800" yWindow="-21600" windowWidth="38400" windowHeight="21600" xr2:uid="{84AFDEF3-9CB1-9042-8BA2-8B43CCB4AB5D}"/>
  </bookViews>
  <sheets>
    <sheet name="Final" sheetId="7" r:id="rId1"/>
    <sheet name="Train" sheetId="6" r:id="rId2"/>
    <sheet name="Mesh Analysis" sheetId="1" r:id="rId3"/>
    <sheet name="Control" sheetId="4" r:id="rId4"/>
    <sheet name="Legend" sheetId="2" r:id="rId5"/>
    <sheet name="Convergence" sheetId="3" r:id="rId6"/>
  </sheets>
  <definedNames>
    <definedName name="_xlnm._FilterDatabase" localSheetId="0" hidden="1">Final!$C$2:$M$18</definedName>
    <definedName name="_xlnm._FilterDatabase" localSheetId="2" hidden="1">'Mesh Analysis'!$B$2:$U$20</definedName>
    <definedName name="_xlnm._FilterDatabase" localSheetId="1" hidden="1">Train!$C$2:$J$53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6" l="1"/>
  <c r="J46" i="6" s="1"/>
  <c r="N46" i="6" s="1"/>
  <c r="M46" i="6" s="1"/>
  <c r="L46" i="6" s="1"/>
  <c r="I45" i="6"/>
  <c r="J45" i="6" s="1"/>
  <c r="N45" i="6" s="1"/>
  <c r="M45" i="6" s="1"/>
  <c r="L45" i="6" s="1"/>
  <c r="I44" i="6"/>
  <c r="J44" i="6" s="1"/>
  <c r="N44" i="6" s="1"/>
  <c r="M44" i="6" s="1"/>
  <c r="L44" i="6" s="1"/>
  <c r="I42" i="6"/>
  <c r="J42" i="6" s="1"/>
  <c r="N42" i="6" s="1"/>
  <c r="M42" i="6" s="1"/>
  <c r="L42" i="6" s="1"/>
  <c r="I41" i="6"/>
  <c r="J41" i="6" s="1"/>
  <c r="N41" i="6" s="1"/>
  <c r="M41" i="6" s="1"/>
  <c r="L41" i="6" s="1"/>
  <c r="I40" i="6"/>
  <c r="J40" i="6" s="1"/>
  <c r="N40" i="6" s="1"/>
  <c r="M40" i="6" s="1"/>
  <c r="L40" i="6" s="1"/>
  <c r="I49" i="6"/>
  <c r="J49" i="6" s="1"/>
  <c r="N49" i="6" s="1"/>
  <c r="M49" i="6" s="1"/>
  <c r="L49" i="6" s="1"/>
  <c r="I53" i="6"/>
  <c r="J53" i="6" s="1"/>
  <c r="N53" i="6" s="1"/>
  <c r="M53" i="6" s="1"/>
  <c r="L53" i="6" s="1"/>
  <c r="I52" i="6"/>
  <c r="J52" i="6" s="1"/>
  <c r="N52" i="6" s="1"/>
  <c r="M52" i="6" s="1"/>
  <c r="L52" i="6" s="1"/>
  <c r="I51" i="6"/>
  <c r="J51" i="6" s="1"/>
  <c r="N51" i="6" s="1"/>
  <c r="M51" i="6" s="1"/>
  <c r="L51" i="6" s="1"/>
  <c r="I50" i="6"/>
  <c r="J50" i="6" s="1"/>
  <c r="N50" i="6" s="1"/>
  <c r="M50" i="6" s="1"/>
  <c r="L50" i="6" s="1"/>
  <c r="I48" i="6"/>
  <c r="J48" i="6" s="1"/>
  <c r="N48" i="6" s="1"/>
  <c r="M48" i="6" s="1"/>
  <c r="L48" i="6" s="1"/>
  <c r="I47" i="6"/>
  <c r="J47" i="6" s="1"/>
  <c r="N47" i="6" s="1"/>
  <c r="M47" i="6" s="1"/>
  <c r="L47" i="6" s="1"/>
  <c r="L19" i="4"/>
  <c r="L17" i="4"/>
  <c r="L9" i="4"/>
  <c r="L18" i="4" s="1"/>
  <c r="I43" i="6"/>
  <c r="J43" i="6" s="1"/>
  <c r="N43" i="6" s="1"/>
  <c r="M43" i="6" s="1"/>
  <c r="L43" i="6" s="1"/>
  <c r="I39" i="6"/>
  <c r="J39" i="6" s="1"/>
  <c r="N39" i="6" s="1"/>
  <c r="M39" i="6" s="1"/>
  <c r="L39" i="6" s="1"/>
  <c r="I38" i="6"/>
  <c r="J38" i="6" s="1"/>
  <c r="N38" i="6" s="1"/>
  <c r="M38" i="6" s="1"/>
  <c r="L38" i="6" s="1"/>
  <c r="I37" i="6"/>
  <c r="J37" i="6" s="1"/>
  <c r="N37" i="6" s="1"/>
  <c r="M37" i="6" s="1"/>
  <c r="L37" i="6" s="1"/>
  <c r="I36" i="6"/>
  <c r="J36" i="6" s="1"/>
  <c r="N36" i="6" s="1"/>
  <c r="M36" i="6" s="1"/>
  <c r="L36" i="6" s="1"/>
  <c r="I35" i="6"/>
  <c r="J35" i="6" s="1"/>
  <c r="N35" i="6" s="1"/>
  <c r="M35" i="6" s="1"/>
  <c r="L35" i="6" s="1"/>
  <c r="I34" i="6"/>
  <c r="J34" i="6" s="1"/>
  <c r="N34" i="6" s="1"/>
  <c r="M34" i="6" s="1"/>
  <c r="L34" i="6" s="1"/>
  <c r="I33" i="6"/>
  <c r="J33" i="6" s="1"/>
  <c r="N33" i="6" s="1"/>
  <c r="M33" i="6" s="1"/>
  <c r="L33" i="6" s="1"/>
  <c r="I31" i="6"/>
  <c r="J31" i="6" s="1"/>
  <c r="N31" i="6" s="1"/>
  <c r="M31" i="6" s="1"/>
  <c r="L31" i="6" s="1"/>
  <c r="I30" i="6"/>
  <c r="J30" i="6" s="1"/>
  <c r="N30" i="6" s="1"/>
  <c r="M30" i="6" s="1"/>
  <c r="L30" i="6" s="1"/>
  <c r="I29" i="6"/>
  <c r="J29" i="6" s="1"/>
  <c r="N29" i="6" s="1"/>
  <c r="M29" i="6" s="1"/>
  <c r="L29" i="6" s="1"/>
  <c r="I32" i="6"/>
  <c r="J32" i="6" s="1"/>
  <c r="N32" i="6" s="1"/>
  <c r="M32" i="6" s="1"/>
  <c r="L32" i="6" s="1"/>
  <c r="I28" i="6"/>
  <c r="J28" i="6" s="1"/>
  <c r="N28" i="6" s="1"/>
  <c r="M28" i="6" s="1"/>
  <c r="L28" i="6" s="1"/>
  <c r="K14" i="4"/>
  <c r="K15" i="4"/>
  <c r="K16" i="4"/>
  <c r="K17" i="4"/>
  <c r="K18" i="4"/>
  <c r="K19" i="4"/>
  <c r="K12" i="4"/>
  <c r="I27" i="6"/>
  <c r="J27" i="6" s="1"/>
  <c r="N27" i="6" s="1"/>
  <c r="M27" i="6" s="1"/>
  <c r="L27" i="6" s="1"/>
  <c r="I26" i="6"/>
  <c r="J26" i="6" s="1"/>
  <c r="N26" i="6" s="1"/>
  <c r="M26" i="6" s="1"/>
  <c r="L26" i="6" s="1"/>
  <c r="I25" i="6"/>
  <c r="J25" i="6" s="1"/>
  <c r="N25" i="6" s="1"/>
  <c r="M25" i="6" s="1"/>
  <c r="L25" i="6" s="1"/>
  <c r="I24" i="6"/>
  <c r="J24" i="6" s="1"/>
  <c r="N24" i="6" s="1"/>
  <c r="M24" i="6" s="1"/>
  <c r="L24" i="6" s="1"/>
  <c r="I23" i="6"/>
  <c r="J23" i="6" s="1"/>
  <c r="N23" i="6" s="1"/>
  <c r="M23" i="6" s="1"/>
  <c r="L23" i="6" s="1"/>
  <c r="I22" i="6"/>
  <c r="J22" i="6" s="1"/>
  <c r="N22" i="6" s="1"/>
  <c r="M22" i="6" s="1"/>
  <c r="L22" i="6" s="1"/>
  <c r="N21" i="6"/>
  <c r="M21" i="6" s="1"/>
  <c r="L21" i="6" s="1"/>
  <c r="I21" i="6"/>
  <c r="N20" i="6"/>
  <c r="M20" i="6" s="1"/>
  <c r="L20" i="6" s="1"/>
  <c r="I20" i="6"/>
  <c r="I19" i="6"/>
  <c r="N19" i="6" s="1"/>
  <c r="M19" i="6" s="1"/>
  <c r="L19" i="6" s="1"/>
  <c r="I18" i="6"/>
  <c r="J18" i="6" s="1"/>
  <c r="N18" i="6" s="1"/>
  <c r="M18" i="6" s="1"/>
  <c r="L18" i="6" s="1"/>
  <c r="H4" i="3"/>
  <c r="I4" i="3"/>
  <c r="J4" i="3"/>
  <c r="H5" i="3"/>
  <c r="I5" i="3"/>
  <c r="J5" i="3"/>
  <c r="I6" i="3"/>
  <c r="J6" i="3"/>
  <c r="H6" i="3"/>
  <c r="D24" i="3"/>
  <c r="E24" i="3"/>
  <c r="F24" i="3"/>
  <c r="D25" i="3"/>
  <c r="E25" i="3"/>
  <c r="F25" i="3"/>
  <c r="E23" i="3"/>
  <c r="F23" i="3"/>
  <c r="D23" i="3"/>
  <c r="I17" i="6"/>
  <c r="J17" i="6" s="1"/>
  <c r="N17" i="6" s="1"/>
  <c r="M17" i="6" s="1"/>
  <c r="L17" i="6" s="1"/>
  <c r="I16" i="6"/>
  <c r="J16" i="6" s="1"/>
  <c r="N16" i="6" s="1"/>
  <c r="M16" i="6" s="1"/>
  <c r="L16" i="6" s="1"/>
  <c r="I15" i="6"/>
  <c r="J15" i="6" s="1"/>
  <c r="N15" i="6" s="1"/>
  <c r="M15" i="6" s="1"/>
  <c r="L15" i="6" s="1"/>
  <c r="I14" i="6"/>
  <c r="J14" i="6" s="1"/>
  <c r="N14" i="6" s="1"/>
  <c r="M14" i="6" s="1"/>
  <c r="L14" i="6" s="1"/>
  <c r="I13" i="6"/>
  <c r="J13" i="6" s="1"/>
  <c r="N13" i="6" s="1"/>
  <c r="M13" i="6" s="1"/>
  <c r="L13" i="6" s="1"/>
  <c r="I12" i="6"/>
  <c r="J12" i="6" s="1"/>
  <c r="N12" i="6" s="1"/>
  <c r="M12" i="6" s="1"/>
  <c r="L12" i="6" s="1"/>
  <c r="I11" i="6"/>
  <c r="J11" i="6" s="1"/>
  <c r="N11" i="6" s="1"/>
  <c r="M11" i="6" s="1"/>
  <c r="L11" i="6" s="1"/>
  <c r="I10" i="6"/>
  <c r="J10" i="6" s="1"/>
  <c r="N10" i="6" s="1"/>
  <c r="M10" i="6" s="1"/>
  <c r="L10" i="6" s="1"/>
  <c r="I9" i="6"/>
  <c r="J9" i="6" s="1"/>
  <c r="N9" i="6" s="1"/>
  <c r="M9" i="6" s="1"/>
  <c r="L9" i="6" s="1"/>
  <c r="I8" i="6"/>
  <c r="J8" i="6" s="1"/>
  <c r="N8" i="6" s="1"/>
  <c r="M8" i="6" s="1"/>
  <c r="L8" i="6" s="1"/>
  <c r="I7" i="6"/>
  <c r="J7" i="6" s="1"/>
  <c r="N7" i="6" s="1"/>
  <c r="M7" i="6" s="1"/>
  <c r="L7" i="6" s="1"/>
  <c r="I6" i="6"/>
  <c r="J6" i="6" s="1"/>
  <c r="N6" i="6" s="1"/>
  <c r="M6" i="6" s="1"/>
  <c r="L6" i="6" s="1"/>
  <c r="I5" i="6"/>
  <c r="J5" i="6" s="1"/>
  <c r="N5" i="6" s="1"/>
  <c r="M5" i="6" s="1"/>
  <c r="L5" i="6" s="1"/>
  <c r="I3" i="6"/>
  <c r="J3" i="6" s="1"/>
  <c r="N3" i="6" s="1"/>
  <c r="M3" i="6" s="1"/>
  <c r="L3" i="6" s="1"/>
  <c r="I4" i="6"/>
  <c r="J4" i="6" s="1"/>
  <c r="D19" i="3"/>
  <c r="E19" i="3"/>
  <c r="F19" i="3"/>
  <c r="D20" i="3"/>
  <c r="E20" i="3"/>
  <c r="F20" i="3"/>
  <c r="E18" i="3"/>
  <c r="F18" i="3"/>
  <c r="D18" i="3"/>
  <c r="D12" i="3"/>
  <c r="E12" i="3"/>
  <c r="F12" i="3"/>
  <c r="D13" i="3"/>
  <c r="E13" i="3"/>
  <c r="F13" i="3"/>
  <c r="E11" i="3"/>
  <c r="F11" i="3"/>
  <c r="L11" i="3" s="1"/>
  <c r="D11" i="3"/>
  <c r="D5" i="3"/>
  <c r="E5" i="3"/>
  <c r="F5" i="3"/>
  <c r="D6" i="3"/>
  <c r="E6" i="3"/>
  <c r="F6" i="3"/>
  <c r="E4" i="3"/>
  <c r="F4" i="3"/>
  <c r="D4" i="3"/>
  <c r="Q20" i="1"/>
  <c r="P20" i="1"/>
  <c r="M20" i="1"/>
  <c r="G20" i="1" s="1"/>
  <c r="F20" i="1"/>
  <c r="Q19" i="1"/>
  <c r="P19" i="1"/>
  <c r="M19" i="1"/>
  <c r="G19" i="1" s="1"/>
  <c r="F19" i="1"/>
  <c r="Q18" i="1"/>
  <c r="P18" i="1"/>
  <c r="O18" i="1"/>
  <c r="N18" i="1"/>
  <c r="G18" i="1"/>
  <c r="F18" i="1"/>
  <c r="H18" i="1" s="1"/>
  <c r="Q17" i="1"/>
  <c r="P17" i="1"/>
  <c r="O17" i="1"/>
  <c r="N17" i="1"/>
  <c r="G17" i="1"/>
  <c r="F17" i="1"/>
  <c r="H17" i="1" s="1"/>
  <c r="Q16" i="1"/>
  <c r="P16" i="1"/>
  <c r="M16" i="1"/>
  <c r="F16" i="1"/>
  <c r="Q15" i="1"/>
  <c r="P15" i="1"/>
  <c r="M15" i="1"/>
  <c r="G15" i="1" s="1"/>
  <c r="F15" i="1"/>
  <c r="Q4" i="1"/>
  <c r="Q5" i="1"/>
  <c r="Q6" i="1"/>
  <c r="Q7" i="1"/>
  <c r="Q8" i="1"/>
  <c r="Q9" i="1"/>
  <c r="Q10" i="1"/>
  <c r="Q11" i="1"/>
  <c r="Q12" i="1"/>
  <c r="Q13" i="1"/>
  <c r="Q14" i="1"/>
  <c r="Q3" i="1"/>
  <c r="P4" i="1"/>
  <c r="P5" i="1"/>
  <c r="P6" i="1"/>
  <c r="P7" i="1"/>
  <c r="P8" i="1"/>
  <c r="P9" i="1"/>
  <c r="P10" i="1"/>
  <c r="P11" i="1"/>
  <c r="P12" i="1"/>
  <c r="P13" i="1"/>
  <c r="P14" i="1"/>
  <c r="P3" i="1"/>
  <c r="M14" i="1"/>
  <c r="G14" i="1" s="1"/>
  <c r="F14" i="1"/>
  <c r="M13" i="1"/>
  <c r="G13" i="1" s="1"/>
  <c r="F13" i="1"/>
  <c r="O12" i="1"/>
  <c r="N12" i="1"/>
  <c r="G12" i="1"/>
  <c r="F12" i="1"/>
  <c r="H12" i="1" s="1"/>
  <c r="O11" i="1"/>
  <c r="N11" i="1"/>
  <c r="G11" i="1"/>
  <c r="F11" i="1"/>
  <c r="H11" i="1" s="1"/>
  <c r="O10" i="1"/>
  <c r="N10" i="1"/>
  <c r="G10" i="1"/>
  <c r="F10" i="1"/>
  <c r="H10" i="1" s="1"/>
  <c r="O9" i="1"/>
  <c r="N9" i="1"/>
  <c r="G9" i="1"/>
  <c r="F9" i="1"/>
  <c r="H9" i="1" s="1"/>
  <c r="O6" i="1"/>
  <c r="N6" i="1"/>
  <c r="G6" i="1"/>
  <c r="F6" i="1"/>
  <c r="H6" i="1" s="1"/>
  <c r="O8" i="1"/>
  <c r="N8" i="1"/>
  <c r="G8" i="1"/>
  <c r="F8" i="1"/>
  <c r="H8" i="1" s="1"/>
  <c r="O7" i="1"/>
  <c r="N7" i="1"/>
  <c r="G7" i="1"/>
  <c r="F7" i="1"/>
  <c r="H7" i="1" s="1"/>
  <c r="O3" i="1"/>
  <c r="O5" i="1" s="1"/>
  <c r="N3" i="1"/>
  <c r="N5" i="1" s="1"/>
  <c r="F4" i="1"/>
  <c r="F5" i="1"/>
  <c r="M5" i="1"/>
  <c r="G5" i="1" s="1"/>
  <c r="M4" i="1"/>
  <c r="G3" i="1"/>
  <c r="F3" i="1"/>
  <c r="H3" i="1" s="1"/>
  <c r="N4" i="6" l="1"/>
  <c r="M4" i="6" s="1"/>
  <c r="L4" i="6" s="1"/>
  <c r="J11" i="3"/>
  <c r="K13" i="3"/>
  <c r="K11" i="3"/>
  <c r="L13" i="3"/>
  <c r="K12" i="3"/>
  <c r="J12" i="3"/>
  <c r="J13" i="3"/>
  <c r="L12" i="3"/>
  <c r="I17" i="1"/>
  <c r="H20" i="1"/>
  <c r="I20" i="1" s="1"/>
  <c r="H16" i="1"/>
  <c r="N19" i="1"/>
  <c r="I7" i="1"/>
  <c r="I10" i="1"/>
  <c r="H15" i="1"/>
  <c r="I15" i="1" s="1"/>
  <c r="O15" i="1"/>
  <c r="G16" i="1"/>
  <c r="O16" i="1"/>
  <c r="N20" i="1"/>
  <c r="O20" i="1"/>
  <c r="I8" i="1"/>
  <c r="N15" i="1"/>
  <c r="N16" i="1"/>
  <c r="O19" i="1"/>
  <c r="H19" i="1"/>
  <c r="I19" i="1" s="1"/>
  <c r="I18" i="1"/>
  <c r="I11" i="1"/>
  <c r="I12" i="1"/>
  <c r="H13" i="1"/>
  <c r="I13" i="1" s="1"/>
  <c r="O4" i="1"/>
  <c r="O13" i="1"/>
  <c r="N13" i="1"/>
  <c r="N14" i="1"/>
  <c r="H14" i="1"/>
  <c r="I14" i="1" s="1"/>
  <c r="O14" i="1"/>
  <c r="I9" i="1"/>
  <c r="I6" i="1"/>
  <c r="N4" i="1"/>
  <c r="H4" i="1"/>
  <c r="I3" i="1"/>
  <c r="G4" i="1"/>
  <c r="H5" i="1"/>
  <c r="I5" i="1" s="1"/>
  <c r="I16" i="1" l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tc={E862049F-A431-3B4A-9912-8D4CB6D9E8BA}</author>
    <author>tc={9D2F2B37-8B73-3B48-87EB-B38BEEDC5248}</author>
  </authors>
  <commentList>
    <comment ref="G2" authorId="0" shapeId="0" xr:uid="{E862049F-A431-3B4A-9912-8D4CB6D9E8BA}">
      <text>
        <t>[Threaded comment]
Your version of Excel allows you to read this threaded comment; however, any edits to it will get removed if the file is opened in a newer version of Excel. Learn more: https://go.microsoft.com/fwlink/?linkid=870924
Comment:
    dt &lt;= dx / u</t>
      </text>
    </comment>
    <comment ref="H2" authorId="1" shapeId="0" xr:uid="{9D2F2B37-8B73-3B48-87EB-B38BEEDC5248}">
      <text>
        <t>[Threaded comment]
Your version of Excel allows you to read this threaded comment; however, any edits to it will get removed if the file is opened in a newer version of Excel. Learn more: https://go.microsoft.com/fwlink/?linkid=870924
Comment:
    dt &lt;= 0.5 * dx^2 / mu</t>
      </text>
    </comment>
  </commentList>
</comments>
</file>

<file path=xl/sharedStrings.xml><?xml version="1.0" encoding="utf-8"?>
<sst xmlns="http://schemas.openxmlformats.org/spreadsheetml/2006/main" count="466" uniqueCount="187">
  <si>
    <t>Re</t>
  </si>
  <si>
    <t>u_inf</t>
  </si>
  <si>
    <t>rho_f</t>
  </si>
  <si>
    <t>mu_f</t>
  </si>
  <si>
    <t>Fluid</t>
  </si>
  <si>
    <t>Mesh</t>
  </si>
  <si>
    <t>cylinder_size</t>
  </si>
  <si>
    <t>box_size</t>
  </si>
  <si>
    <t>coarse_size</t>
  </si>
  <si>
    <t>Time</t>
  </si>
  <si>
    <t>Evaluation</t>
  </si>
  <si>
    <t>ID exp</t>
  </si>
  <si>
    <t>delta</t>
  </si>
  <si>
    <t>Num conditions</t>
  </si>
  <si>
    <t>CFL</t>
  </si>
  <si>
    <t>Von Neuman</t>
  </si>
  <si>
    <t>dt</t>
  </si>
  <si>
    <t>T</t>
  </si>
  <si>
    <t>aero_delta1_80s_results</t>
  </si>
  <si>
    <t>aero_delta1_Re150_results</t>
  </si>
  <si>
    <t>aero_delta1_Re150_T20_results</t>
  </si>
  <si>
    <t>aero_delta1_results</t>
  </si>
  <si>
    <t>aero_delta2_results</t>
  </si>
  <si>
    <t>aero_delta05_results</t>
  </si>
  <si>
    <t>aero_delta1_T40_results</t>
  </si>
  <si>
    <t>aero_delta1_Re150_T100_results</t>
  </si>
  <si>
    <t>aero_delta1_Re100_T100_results</t>
  </si>
  <si>
    <t>aero_delta1_Re120_T100_results</t>
  </si>
  <si>
    <t>aero_delta2_Re150_T100_results</t>
  </si>
  <si>
    <t>aero_delta05_Re150_T100_results</t>
  </si>
  <si>
    <t>Cd mean</t>
  </si>
  <si>
    <t>Cd freq</t>
  </si>
  <si>
    <t>Notes</t>
  </si>
  <si>
    <t>len_delta</t>
  </si>
  <si>
    <t>length</t>
  </si>
  <si>
    <t>outer_length</t>
  </si>
  <si>
    <t>aero_delta2_len075_Re150_T100_results</t>
  </si>
  <si>
    <t>aero_delta2_len05_Re150_T100_results</t>
  </si>
  <si>
    <t>aero_delta1_len075_Re150_T100_results</t>
  </si>
  <si>
    <t>aero_delta1_len05_Re150_T100_results</t>
  </si>
  <si>
    <t>aero_delta05_len075_Re150_T100_results</t>
  </si>
  <si>
    <t>aero_delta05_len05_Re150_T100_results</t>
  </si>
  <si>
    <t>Grid dimension</t>
  </si>
  <si>
    <t>Coarse</t>
  </si>
  <si>
    <t>Medium</t>
  </si>
  <si>
    <t>Fine</t>
  </si>
  <si>
    <t>Big</t>
  </si>
  <si>
    <t>Small</t>
  </si>
  <si>
    <t>Domain dimension</t>
  </si>
  <si>
    <t>Time [min]</t>
  </si>
  <si>
    <t>Mean CD</t>
  </si>
  <si>
    <t>Freq CD</t>
  </si>
  <si>
    <t>Rho solid</t>
  </si>
  <si>
    <t>Flap length</t>
  </si>
  <si>
    <t>Flap width</t>
  </si>
  <si>
    <t>test_solid_1</t>
  </si>
  <si>
    <t>-</t>
  </si>
  <si>
    <t>test_solid_2</t>
  </si>
  <si>
    <t>test_solid_3</t>
  </si>
  <si>
    <t>Mu solid</t>
  </si>
  <si>
    <t>test_solid_4</t>
  </si>
  <si>
    <t>test_solid_4_disp_vel</t>
  </si>
  <si>
    <t>test_solid_5_disp_vel</t>
  </si>
  <si>
    <t>test_solid_6_disp_vel</t>
  </si>
  <si>
    <t>test_solid_7_disp_vel</t>
  </si>
  <si>
    <t>test_solid_8_disp_vel</t>
  </si>
  <si>
    <t>test_solid_9_disp_vel</t>
  </si>
  <si>
    <t>test_solid_10_disp_vel</t>
  </si>
  <si>
    <t>test_solid_11_disp_vel</t>
  </si>
  <si>
    <t>test_solid_12_disp_vel</t>
  </si>
  <si>
    <t>test_solid_13_disp_vel</t>
  </si>
  <si>
    <t>test_solid_14_disp_vel</t>
  </si>
  <si>
    <t>test_solid_15_disp_vel</t>
  </si>
  <si>
    <t>test_solid_16_disp_vel</t>
  </si>
  <si>
    <t>Control</t>
  </si>
  <si>
    <t>T startup</t>
  </si>
  <si>
    <t>dt control</t>
  </si>
  <si>
    <t>T max</t>
  </si>
  <si>
    <t>Training</t>
  </si>
  <si>
    <t>Max steps</t>
  </si>
  <si>
    <t>Episodes</t>
  </si>
  <si>
    <t>Batch ID</t>
  </si>
  <si>
    <t>time [s]
per step</t>
  </si>
  <si>
    <t>Minimum expected Time</t>
  </si>
  <si>
    <t>Total time [min]</t>
  </si>
  <si>
    <t>Total time [s]</t>
  </si>
  <si>
    <t>Steps per episode</t>
  </si>
  <si>
    <t>Exp name</t>
  </si>
  <si>
    <t>Total time [h]</t>
  </si>
  <si>
    <t>train_1</t>
  </si>
  <si>
    <t>Real Time: 218030</t>
  </si>
  <si>
    <t>eval_1</t>
  </si>
  <si>
    <t>train_dqn</t>
  </si>
  <si>
    <t>Completed</t>
  </si>
  <si>
    <t>Running</t>
  </si>
  <si>
    <t>Eval for 1 episode</t>
  </si>
  <si>
    <t>train_ppo_2</t>
  </si>
  <si>
    <t>Failed</t>
  </si>
  <si>
    <t>train_ppo_3</t>
  </si>
  <si>
    <t>Re-run from step 1000</t>
  </si>
  <si>
    <t>Re-run from step 3000</t>
  </si>
  <si>
    <t>eval_dqn</t>
  </si>
  <si>
    <t>Eval train_dqn for 2 episodes</t>
  </si>
  <si>
    <t>Timeout</t>
  </si>
  <si>
    <t>Re-run from step 6000</t>
  </si>
  <si>
    <t>new_dqn</t>
  </si>
  <si>
    <t xml:space="preserve">Nuova REWARD!! </t>
  </si>
  <si>
    <t>ppo2_eval</t>
  </si>
  <si>
    <t>Eval for id 12</t>
  </si>
  <si>
    <t>ppo3_eval</t>
  </si>
  <si>
    <t>dqn_eval</t>
  </si>
  <si>
    <t>dqn_2</t>
  </si>
  <si>
    <t>ne_pp_1</t>
  </si>
  <si>
    <t>ne_pp_2</t>
  </si>
  <si>
    <t>Square</t>
  </si>
  <si>
    <t>Flaps introduction</t>
  </si>
  <si>
    <t>Change Rho</t>
  </si>
  <si>
    <t>Change length</t>
  </si>
  <si>
    <t>Change width</t>
  </si>
  <si>
    <t>new_test_no_solid</t>
  </si>
  <si>
    <t>dqn2_eval</t>
  </si>
  <si>
    <t>dqn_3</t>
  </si>
  <si>
    <t>NO OBS</t>
  </si>
  <si>
    <t>OBS 2</t>
  </si>
  <si>
    <t>dqn_4</t>
  </si>
  <si>
    <t>OBS 1, POLICY 128</t>
  </si>
  <si>
    <t>OBS 1</t>
  </si>
  <si>
    <t>dqn_5</t>
  </si>
  <si>
    <t>DQN</t>
  </si>
  <si>
    <t>PPO</t>
  </si>
  <si>
    <t>Policy</t>
  </si>
  <si>
    <t>TRAIN</t>
  </si>
  <si>
    <t>EVAL</t>
  </si>
  <si>
    <t>Phase</t>
  </si>
  <si>
    <t>ppo_4</t>
  </si>
  <si>
    <t>dqn_6</t>
  </si>
  <si>
    <t>OBS 1, action space 501</t>
  </si>
  <si>
    <t>NO OBS, re-run ID 26</t>
  </si>
  <si>
    <t>NO OBS, re-run ID 30 (5 episodes)</t>
  </si>
  <si>
    <t>eva_d41</t>
  </si>
  <si>
    <t>OBS 2, steps 1000</t>
  </si>
  <si>
    <t>eva_d46</t>
  </si>
  <si>
    <t>OBS 2, steps 6000</t>
  </si>
  <si>
    <t>dqn_7</t>
  </si>
  <si>
    <t>OBS 2, L1.2, w0.2</t>
  </si>
  <si>
    <t>dqn_8</t>
  </si>
  <si>
    <t>OBS 1, 5 probes, obs + action</t>
  </si>
  <si>
    <t>dqn_9</t>
  </si>
  <si>
    <t>dqn_10</t>
  </si>
  <si>
    <t>dqn_11</t>
  </si>
  <si>
    <t>OBS 1, 5 probes, obs + action, learning_starts = 10</t>
  </si>
  <si>
    <t>dqn_12</t>
  </si>
  <si>
    <t>TRAIN_ERR</t>
  </si>
  <si>
    <t>Eval for id 10</t>
  </si>
  <si>
    <t>Eval for id 11</t>
  </si>
  <si>
    <t>Eval for id 16</t>
  </si>
  <si>
    <t>ID 8 with reward saved</t>
  </si>
  <si>
    <t>dqn_13</t>
  </si>
  <si>
    <t>ppo_5</t>
  </si>
  <si>
    <t>dqn_14</t>
  </si>
  <si>
    <t>OBS 1, 15 probes, POLICY 256</t>
  </si>
  <si>
    <t>OBS 1, 15 probes, obs + action - rifaccio dqn_8</t>
  </si>
  <si>
    <t>dqn_15</t>
  </si>
  <si>
    <t>OBS 1,  15 probes, LR 0.00001</t>
  </si>
  <si>
    <t>OBS 1,  15 probes, LR 0.001</t>
  </si>
  <si>
    <t>OBS 1, 15 probes</t>
  </si>
  <si>
    <t>OBS 1, 5 probes, POLICY 128, LR 0.001</t>
  </si>
  <si>
    <t>ppo_1</t>
  </si>
  <si>
    <t>dqn_1</t>
  </si>
  <si>
    <t>ppo_2</t>
  </si>
  <si>
    <t>ppo_3</t>
  </si>
  <si>
    <t>Geometry</t>
  </si>
  <si>
    <t>Hidden nodes</t>
  </si>
  <si>
    <t>Standard</t>
  </si>
  <si>
    <t>Big, long flaps</t>
  </si>
  <si>
    <t>Action space</t>
  </si>
  <si>
    <t>Learning rate</t>
  </si>
  <si>
    <t>0.00001</t>
  </si>
  <si>
    <t>0.001</t>
  </si>
  <si>
    <t>0.0001</t>
  </si>
  <si>
    <t>Obs tranformation</t>
  </si>
  <si>
    <t>T1</t>
  </si>
  <si>
    <t>T2</t>
  </si>
  <si>
    <t>Pressure probes</t>
  </si>
  <si>
    <t>Aerodynamic environment</t>
  </si>
  <si>
    <t>Action and state</t>
  </si>
  <si>
    <t>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</si>
</sst>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ashDot">
        <color indexed="64"/>
      </top>
      <bottom/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7" borderId="13" xfId="0" applyFill="1" applyBorder="1"/>
    <xf numFmtId="0" fontId="0" fillId="7" borderId="14" xfId="0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1" xfId="0" applyBorder="1"/>
    <xf numFmtId="0" fontId="0" fillId="11" borderId="1" xfId="0" applyFill="1" applyBorder="1" applyAlignment="1">
      <alignment horizontal="center" vertical="center"/>
    </xf>
    <xf numFmtId="0" fontId="0" fillId="7" borderId="19" xfId="0" applyFill="1" applyBorder="1"/>
    <xf numFmtId="0" fontId="0" fillId="0" borderId="21" xfId="0" applyBorder="1"/>
    <xf numFmtId="11" fontId="0" fillId="6" borderId="21" xfId="0" applyNumberForma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7" borderId="22" xfId="0" applyFill="1" applyBorder="1"/>
    <xf numFmtId="0" fontId="0" fillId="8" borderId="2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7" borderId="29" xfId="0" applyFill="1" applyBorder="1"/>
    <xf numFmtId="0" fontId="0" fillId="5" borderId="2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11" fontId="0" fillId="3" borderId="21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7" xfId="0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0" fillId="9" borderId="3" xfId="0" applyNumberForma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22" fontId="0" fillId="0" borderId="0" xfId="0" applyNumberFormat="1"/>
    <xf numFmtId="0" fontId="0" fillId="4" borderId="33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4" borderId="0" xfId="0" applyFill="1"/>
    <xf numFmtId="0" fontId="0" fillId="13" borderId="0" xfId="0" applyFill="1"/>
    <xf numFmtId="0" fontId="0" fillId="15" borderId="18" xfId="0" applyFill="1" applyBorder="1" applyAlignment="1">
      <alignment horizontal="center" vertical="center"/>
    </xf>
    <xf numFmtId="0" fontId="0" fillId="15" borderId="0" xfId="0" applyFill="1"/>
    <xf numFmtId="0" fontId="3" fillId="16" borderId="0" xfId="0" applyFont="1" applyFill="1"/>
    <xf numFmtId="0" fontId="0" fillId="16" borderId="18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5" borderId="31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4" xfId="0" applyFill="1" applyBorder="1"/>
    <xf numFmtId="165" fontId="0" fillId="9" borderId="21" xfId="0" applyNumberFormat="1" applyFill="1" applyBorder="1" applyAlignment="1">
      <alignment horizontal="center" vertical="center"/>
    </xf>
    <xf numFmtId="164" fontId="0" fillId="0" borderId="0" xfId="0" applyNumberFormat="1"/>
    <xf numFmtId="164" fontId="0" fillId="4" borderId="28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1" fontId="0" fillId="9" borderId="1" xfId="0" applyNumberFormat="1" applyFill="1" applyBorder="1" applyAlignment="1">
      <alignment horizontal="center" vertical="center"/>
    </xf>
    <xf numFmtId="11" fontId="0" fillId="17" borderId="1" xfId="0" applyNumberFormat="1" applyFill="1" applyBorder="1" applyAlignment="1">
      <alignment horizontal="center" vertical="center"/>
    </xf>
    <xf numFmtId="11" fontId="0" fillId="18" borderId="1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9" xfId="0" applyBorder="1"/>
    <xf numFmtId="11" fontId="0" fillId="3" borderId="9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0" fillId="7" borderId="10" xfId="0" applyFill="1" applyBorder="1"/>
    <xf numFmtId="0" fontId="0" fillId="0" borderId="27" xfId="0" applyBorder="1" applyAlignment="1">
      <alignment horizontal="left"/>
    </xf>
    <xf numFmtId="0" fontId="0" fillId="0" borderId="28" xfId="0" applyBorder="1"/>
    <xf numFmtId="11" fontId="0" fillId="3" borderId="28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/>
    <xf numFmtId="11" fontId="0" fillId="3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1" fontId="0" fillId="19" borderId="21" xfId="0" applyNumberFormat="1" applyFill="1" applyBorder="1" applyAlignment="1">
      <alignment horizontal="center" vertical="center"/>
    </xf>
    <xf numFmtId="164" fontId="0" fillId="4" borderId="21" xfId="0" applyNumberFormat="1" applyFill="1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0" fillId="0" borderId="39" xfId="0" applyBorder="1"/>
    <xf numFmtId="11" fontId="0" fillId="3" borderId="39" xfId="0" applyNumberFormat="1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164" fontId="0" fillId="4" borderId="39" xfId="0" applyNumberFormat="1" applyFill="1" applyBorder="1" applyAlignment="1">
      <alignment horizontal="center" vertical="center"/>
    </xf>
    <xf numFmtId="0" fontId="0" fillId="7" borderId="40" xfId="0" applyFill="1" applyBorder="1"/>
    <xf numFmtId="11" fontId="0" fillId="18" borderId="28" xfId="0" applyNumberFormat="1" applyFill="1" applyBorder="1" applyAlignment="1">
      <alignment horizontal="center" vertical="center"/>
    </xf>
    <xf numFmtId="11" fontId="0" fillId="18" borderId="3" xfId="0" applyNumberFormat="1" applyFill="1" applyBorder="1" applyAlignment="1">
      <alignment horizontal="center" vertical="center"/>
    </xf>
    <xf numFmtId="11" fontId="0" fillId="18" borderId="21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1" borderId="17" xfId="0" applyFont="1" applyFill="1" applyBorder="1" applyAlignment="1">
      <alignment horizontal="center" vertical="center"/>
    </xf>
    <xf numFmtId="0" fontId="1" fillId="21" borderId="41" xfId="0" applyFont="1" applyFill="1" applyBorder="1" applyAlignment="1">
      <alignment horizontal="center" vertical="center"/>
    </xf>
    <xf numFmtId="0" fontId="1" fillId="21" borderId="4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16" xfId="0" applyFill="1" applyBorder="1" applyAlignment="1">
      <alignment horizontal="left" vertical="center" wrapText="1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26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215900</xdr:colOff>
      <xdr:row>13</xdr:row>
      <xdr:rowOff>114300</xdr:rowOff>
    </xdr:from>
    <xdr:to>
      <xdr:col>11</xdr:col>
      <xdr:colOff>1041400</xdr:colOff>
      <xdr:row>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C91AE5-A1D8-DA3F-F37B-812B5E76D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0" y="3492500"/>
          <a:ext cx="5842000" cy="43815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G-Adami, Laerte" id="{A0EC15BA-25DF-A74D-BB02-B56D77D3B98D}" userId="S::Laerte.Adami@city.ac.uk::a19686bc-0aba-459c-bedc-535beec5ca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3-06-21T08:38:31.68" personId="{A0EC15BA-25DF-A74D-BB02-B56D77D3B98D}" id="{E862049F-A431-3B4A-9912-8D4CB6D9E8BA}">
    <text>dt &lt;= dx / u</text>
  </threadedComment>
  <threadedComment ref="H2" dT="2023-06-21T08:38:45.33" personId="{A0EC15BA-25DF-A74D-BB02-B56D77D3B98D}" id="{9D2F2B37-8B73-3B48-87EB-B38BEEDC5248}">
    <text>dt &lt;= 0.5 * dx^2 / mu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B28C-7CC8-C14A-9FAE-C26843F6E95B}">
  <dimension ref="A1:M27"/>
  <sheetViews>
    <sheetView showGridLines="0" tabSelected="1" zoomScale="110" workbookViewId="0">
      <selection sqref="A1:A2"/>
    </sheetView>
  </sheetViews>
  <sheetFormatPr baseColWidth="10" defaultRowHeight="16" x14ac:dyDescent="0.2"/>
  <cols>
    <col min="1" max="2" width="15.1640625" style="1" customWidth="1"/>
    <col min="4" max="4" width="13.83203125" customWidth="1"/>
    <col min="5" max="6" width="14.33203125" customWidth="1"/>
    <col min="7" max="7" width="16" customWidth="1"/>
    <col min="8" max="8" width="14.33203125" customWidth="1"/>
    <col min="13" max="13" width="21" customWidth="1"/>
  </cols>
  <sheetData>
    <row r="1" spans="1:13" x14ac:dyDescent="0.2">
      <c r="A1" s="177" t="s">
        <v>87</v>
      </c>
      <c r="B1" s="175" t="s">
        <v>171</v>
      </c>
      <c r="C1" s="172" t="s">
        <v>186</v>
      </c>
      <c r="D1" s="173"/>
      <c r="E1" s="174"/>
      <c r="F1" s="169" t="s">
        <v>185</v>
      </c>
      <c r="G1" s="170"/>
      <c r="H1" s="171"/>
      <c r="I1" s="166" t="s">
        <v>184</v>
      </c>
      <c r="J1" s="167"/>
      <c r="K1" s="167"/>
      <c r="L1" s="167"/>
      <c r="M1" s="168"/>
    </row>
    <row r="2" spans="1:13" x14ac:dyDescent="0.2">
      <c r="A2" s="177"/>
      <c r="B2" s="176"/>
      <c r="C2" s="161" t="s">
        <v>130</v>
      </c>
      <c r="D2" s="161" t="s">
        <v>176</v>
      </c>
      <c r="E2" s="161" t="s">
        <v>172</v>
      </c>
      <c r="F2" s="162" t="s">
        <v>175</v>
      </c>
      <c r="G2" s="162" t="s">
        <v>180</v>
      </c>
      <c r="H2" s="162" t="s">
        <v>183</v>
      </c>
      <c r="I2" s="163" t="s">
        <v>75</v>
      </c>
      <c r="J2" s="163" t="s">
        <v>76</v>
      </c>
      <c r="K2" s="163" t="s">
        <v>77</v>
      </c>
      <c r="L2" s="163" t="s">
        <v>79</v>
      </c>
      <c r="M2" s="163" t="s">
        <v>80</v>
      </c>
    </row>
    <row r="3" spans="1:13" x14ac:dyDescent="0.2">
      <c r="A3" s="164" t="s">
        <v>167</v>
      </c>
      <c r="B3" s="5" t="s">
        <v>173</v>
      </c>
      <c r="C3" s="4" t="s">
        <v>129</v>
      </c>
      <c r="D3" s="4" t="s">
        <v>179</v>
      </c>
      <c r="E3" s="4">
        <v>64</v>
      </c>
      <c r="F3" s="3" t="s">
        <v>56</v>
      </c>
      <c r="G3" s="3" t="s">
        <v>181</v>
      </c>
      <c r="H3" s="3">
        <v>15</v>
      </c>
      <c r="I3" s="160">
        <v>40</v>
      </c>
      <c r="J3" s="160">
        <v>1</v>
      </c>
      <c r="K3" s="160">
        <v>240</v>
      </c>
      <c r="L3" s="160">
        <v>10000</v>
      </c>
      <c r="M3" s="160">
        <v>51</v>
      </c>
    </row>
    <row r="4" spans="1:13" x14ac:dyDescent="0.2">
      <c r="A4" s="164" t="s">
        <v>168</v>
      </c>
      <c r="B4" s="5" t="s">
        <v>173</v>
      </c>
      <c r="C4" s="4" t="s">
        <v>128</v>
      </c>
      <c r="D4" s="4" t="s">
        <v>179</v>
      </c>
      <c r="E4" s="4">
        <v>64</v>
      </c>
      <c r="F4" s="3">
        <v>1001</v>
      </c>
      <c r="G4" s="3" t="s">
        <v>181</v>
      </c>
      <c r="H4" s="3">
        <v>15</v>
      </c>
      <c r="I4" s="160">
        <v>40</v>
      </c>
      <c r="J4" s="160">
        <v>1</v>
      </c>
      <c r="K4" s="160">
        <v>240</v>
      </c>
      <c r="L4" s="160">
        <v>10000</v>
      </c>
      <c r="M4" s="160">
        <v>51</v>
      </c>
    </row>
    <row r="5" spans="1:13" x14ac:dyDescent="0.2">
      <c r="A5" s="164" t="s">
        <v>169</v>
      </c>
      <c r="B5" s="5" t="s">
        <v>173</v>
      </c>
      <c r="C5" s="4" t="s">
        <v>129</v>
      </c>
      <c r="D5" s="4" t="s">
        <v>179</v>
      </c>
      <c r="E5" s="4">
        <v>64</v>
      </c>
      <c r="F5" s="3" t="s">
        <v>56</v>
      </c>
      <c r="G5" s="3" t="s">
        <v>181</v>
      </c>
      <c r="H5" s="3">
        <v>15</v>
      </c>
      <c r="I5" s="160">
        <v>40</v>
      </c>
      <c r="J5" s="160">
        <v>2</v>
      </c>
      <c r="K5" s="160">
        <v>240</v>
      </c>
      <c r="L5" s="160">
        <v>10000</v>
      </c>
      <c r="M5" s="160">
        <v>101</v>
      </c>
    </row>
    <row r="6" spans="1:13" x14ac:dyDescent="0.2">
      <c r="A6" s="164" t="s">
        <v>170</v>
      </c>
      <c r="B6" s="5" t="s">
        <v>173</v>
      </c>
      <c r="C6" s="4" t="s">
        <v>129</v>
      </c>
      <c r="D6" s="4" t="s">
        <v>179</v>
      </c>
      <c r="E6" s="4">
        <v>64</v>
      </c>
      <c r="F6" s="3" t="s">
        <v>56</v>
      </c>
      <c r="G6" s="3" t="s">
        <v>181</v>
      </c>
      <c r="H6" s="3">
        <v>15</v>
      </c>
      <c r="I6" s="160">
        <v>50</v>
      </c>
      <c r="J6" s="160">
        <v>2</v>
      </c>
      <c r="K6" s="160">
        <v>340</v>
      </c>
      <c r="L6" s="160">
        <v>10000</v>
      </c>
      <c r="M6" s="160">
        <v>69</v>
      </c>
    </row>
    <row r="7" spans="1:13" x14ac:dyDescent="0.2">
      <c r="A7" s="164" t="s">
        <v>111</v>
      </c>
      <c r="B7" s="5" t="s">
        <v>173</v>
      </c>
      <c r="C7" s="4" t="s">
        <v>128</v>
      </c>
      <c r="D7" s="4" t="s">
        <v>179</v>
      </c>
      <c r="E7" s="4">
        <v>64</v>
      </c>
      <c r="F7" s="3">
        <v>1001</v>
      </c>
      <c r="G7" s="3" t="s">
        <v>181</v>
      </c>
      <c r="H7" s="3">
        <v>15</v>
      </c>
      <c r="I7" s="160">
        <v>40</v>
      </c>
      <c r="J7" s="160">
        <v>0.5</v>
      </c>
      <c r="K7" s="160">
        <v>140</v>
      </c>
      <c r="L7" s="160">
        <v>10000</v>
      </c>
      <c r="M7" s="160">
        <v>51</v>
      </c>
    </row>
    <row r="8" spans="1:13" x14ac:dyDescent="0.2">
      <c r="A8" s="164" t="s">
        <v>121</v>
      </c>
      <c r="B8" s="5" t="s">
        <v>173</v>
      </c>
      <c r="C8" s="4" t="s">
        <v>128</v>
      </c>
      <c r="D8" s="4" t="s">
        <v>179</v>
      </c>
      <c r="E8" s="4">
        <v>64</v>
      </c>
      <c r="F8" s="3">
        <v>1001</v>
      </c>
      <c r="G8" s="3" t="s">
        <v>56</v>
      </c>
      <c r="H8" s="3">
        <v>15</v>
      </c>
      <c r="I8" s="160">
        <v>40</v>
      </c>
      <c r="J8" s="160">
        <v>0.5</v>
      </c>
      <c r="K8" s="160">
        <v>140</v>
      </c>
      <c r="L8" s="160">
        <v>10000</v>
      </c>
      <c r="M8" s="160">
        <v>51</v>
      </c>
    </row>
    <row r="9" spans="1:13" x14ac:dyDescent="0.2">
      <c r="A9" s="164" t="s">
        <v>124</v>
      </c>
      <c r="B9" s="5" t="s">
        <v>173</v>
      </c>
      <c r="C9" s="4" t="s">
        <v>128</v>
      </c>
      <c r="D9" s="4" t="s">
        <v>179</v>
      </c>
      <c r="E9" s="4">
        <v>64</v>
      </c>
      <c r="F9" s="3">
        <v>1001</v>
      </c>
      <c r="G9" s="3" t="s">
        <v>182</v>
      </c>
      <c r="H9" s="3">
        <v>15</v>
      </c>
      <c r="I9" s="160">
        <v>40</v>
      </c>
      <c r="J9" s="160">
        <v>0.5</v>
      </c>
      <c r="K9" s="160">
        <v>140</v>
      </c>
      <c r="L9" s="160">
        <v>10000</v>
      </c>
      <c r="M9" s="160">
        <v>51</v>
      </c>
    </row>
    <row r="10" spans="1:13" x14ac:dyDescent="0.2">
      <c r="A10" s="164" t="s">
        <v>127</v>
      </c>
      <c r="B10" s="5" t="s">
        <v>173</v>
      </c>
      <c r="C10" s="4" t="s">
        <v>128</v>
      </c>
      <c r="D10" s="4" t="s">
        <v>179</v>
      </c>
      <c r="E10" s="4">
        <v>128</v>
      </c>
      <c r="F10" s="3">
        <v>1001</v>
      </c>
      <c r="G10" s="3" t="s">
        <v>181</v>
      </c>
      <c r="H10" s="3">
        <v>15</v>
      </c>
      <c r="I10" s="160">
        <v>40</v>
      </c>
      <c r="J10" s="160">
        <v>0.5</v>
      </c>
      <c r="K10" s="160">
        <v>140</v>
      </c>
      <c r="L10" s="160">
        <v>10000</v>
      </c>
      <c r="M10" s="160">
        <v>51</v>
      </c>
    </row>
    <row r="11" spans="1:13" x14ac:dyDescent="0.2">
      <c r="A11" s="164" t="s">
        <v>134</v>
      </c>
      <c r="B11" s="5" t="s">
        <v>173</v>
      </c>
      <c r="C11" s="4" t="s">
        <v>129</v>
      </c>
      <c r="D11" s="4" t="s">
        <v>179</v>
      </c>
      <c r="E11" s="4">
        <v>128</v>
      </c>
      <c r="F11" s="3" t="s">
        <v>56</v>
      </c>
      <c r="G11" s="3" t="s">
        <v>181</v>
      </c>
      <c r="H11" s="3">
        <v>15</v>
      </c>
      <c r="I11" s="160">
        <v>40</v>
      </c>
      <c r="J11" s="160">
        <v>0.5</v>
      </c>
      <c r="K11" s="160">
        <v>140</v>
      </c>
      <c r="L11" s="160">
        <v>10000</v>
      </c>
      <c r="M11" s="160">
        <v>51</v>
      </c>
    </row>
    <row r="12" spans="1:13" x14ac:dyDescent="0.2">
      <c r="A12" s="164" t="s">
        <v>135</v>
      </c>
      <c r="B12" s="5" t="s">
        <v>173</v>
      </c>
      <c r="C12" s="4" t="s">
        <v>128</v>
      </c>
      <c r="D12" s="4" t="s">
        <v>179</v>
      </c>
      <c r="E12" s="4">
        <v>64</v>
      </c>
      <c r="F12" s="3">
        <v>501</v>
      </c>
      <c r="G12" s="3" t="s">
        <v>181</v>
      </c>
      <c r="H12" s="3">
        <v>15</v>
      </c>
      <c r="I12" s="160">
        <v>40</v>
      </c>
      <c r="J12" s="160">
        <v>0.5</v>
      </c>
      <c r="K12" s="160">
        <v>140</v>
      </c>
      <c r="L12" s="160">
        <v>10000</v>
      </c>
      <c r="M12" s="160">
        <v>51</v>
      </c>
    </row>
    <row r="13" spans="1:13" x14ac:dyDescent="0.2">
      <c r="A13" s="164" t="s">
        <v>143</v>
      </c>
      <c r="B13" s="5" t="s">
        <v>174</v>
      </c>
      <c r="C13" s="4" t="s">
        <v>128</v>
      </c>
      <c r="D13" s="4" t="s">
        <v>179</v>
      </c>
      <c r="E13" s="4">
        <v>64</v>
      </c>
      <c r="F13" s="3">
        <v>1001</v>
      </c>
      <c r="G13" s="3" t="s">
        <v>182</v>
      </c>
      <c r="H13" s="3">
        <v>15</v>
      </c>
      <c r="I13" s="160">
        <v>40</v>
      </c>
      <c r="J13" s="160">
        <v>0.5</v>
      </c>
      <c r="K13" s="160">
        <v>140</v>
      </c>
      <c r="L13" s="160">
        <v>10000</v>
      </c>
      <c r="M13" s="160">
        <v>51</v>
      </c>
    </row>
    <row r="14" spans="1:13" ht="17" customHeight="1" x14ac:dyDescent="0.2">
      <c r="A14" s="164" t="s">
        <v>145</v>
      </c>
      <c r="B14" s="5" t="s">
        <v>173</v>
      </c>
      <c r="C14" s="4" t="s">
        <v>128</v>
      </c>
      <c r="D14" s="4" t="s">
        <v>179</v>
      </c>
      <c r="E14" s="4">
        <v>256</v>
      </c>
      <c r="F14" s="3">
        <v>1001</v>
      </c>
      <c r="G14" s="3" t="s">
        <v>181</v>
      </c>
      <c r="H14" s="3">
        <v>15</v>
      </c>
      <c r="I14" s="160">
        <v>40</v>
      </c>
      <c r="J14" s="160">
        <v>0.5</v>
      </c>
      <c r="K14" s="160">
        <v>140</v>
      </c>
      <c r="L14" s="160">
        <v>10000</v>
      </c>
      <c r="M14" s="160">
        <v>51</v>
      </c>
    </row>
    <row r="15" spans="1:13" x14ac:dyDescent="0.2">
      <c r="A15" s="164" t="s">
        <v>147</v>
      </c>
      <c r="B15" s="5" t="s">
        <v>173</v>
      </c>
      <c r="C15" s="4" t="s">
        <v>128</v>
      </c>
      <c r="D15" s="4" t="s">
        <v>177</v>
      </c>
      <c r="E15" s="4">
        <v>64</v>
      </c>
      <c r="F15" s="3">
        <v>1001</v>
      </c>
      <c r="G15" s="3" t="s">
        <v>181</v>
      </c>
      <c r="H15" s="3">
        <v>15</v>
      </c>
      <c r="I15" s="160">
        <v>40</v>
      </c>
      <c r="J15" s="160">
        <v>0.5</v>
      </c>
      <c r="K15" s="160">
        <v>140</v>
      </c>
      <c r="L15" s="160">
        <v>10000</v>
      </c>
      <c r="M15" s="160">
        <v>51</v>
      </c>
    </row>
    <row r="16" spans="1:13" x14ac:dyDescent="0.2">
      <c r="A16" s="164" t="s">
        <v>148</v>
      </c>
      <c r="B16" s="5" t="s">
        <v>173</v>
      </c>
      <c r="C16" s="4" t="s">
        <v>128</v>
      </c>
      <c r="D16" s="4" t="s">
        <v>178</v>
      </c>
      <c r="E16" s="4">
        <v>64</v>
      </c>
      <c r="F16" s="3">
        <v>1001</v>
      </c>
      <c r="G16" s="3" t="s">
        <v>181</v>
      </c>
      <c r="H16" s="3">
        <v>15</v>
      </c>
      <c r="I16" s="160">
        <v>40</v>
      </c>
      <c r="J16" s="160">
        <v>0.5</v>
      </c>
      <c r="K16" s="160">
        <v>140</v>
      </c>
      <c r="L16" s="160">
        <v>10000</v>
      </c>
      <c r="M16" s="160">
        <v>51</v>
      </c>
    </row>
    <row r="17" spans="1:13" ht="18" customHeight="1" x14ac:dyDescent="0.2">
      <c r="A17" s="164" t="s">
        <v>158</v>
      </c>
      <c r="B17" s="5" t="s">
        <v>173</v>
      </c>
      <c r="C17" s="4" t="s">
        <v>129</v>
      </c>
      <c r="D17" s="4" t="s">
        <v>179</v>
      </c>
      <c r="E17" s="4">
        <v>256</v>
      </c>
      <c r="F17" s="3" t="s">
        <v>56</v>
      </c>
      <c r="G17" s="3" t="s">
        <v>181</v>
      </c>
      <c r="H17" s="3">
        <v>15</v>
      </c>
      <c r="I17" s="160">
        <v>40</v>
      </c>
      <c r="J17" s="160">
        <v>0.5</v>
      </c>
      <c r="K17" s="160">
        <v>140</v>
      </c>
      <c r="L17" s="160">
        <v>10000</v>
      </c>
      <c r="M17" s="160">
        <v>51</v>
      </c>
    </row>
    <row r="18" spans="1:13" ht="17" customHeight="1" x14ac:dyDescent="0.2">
      <c r="A18" s="164" t="s">
        <v>149</v>
      </c>
      <c r="B18" s="5" t="s">
        <v>173</v>
      </c>
      <c r="C18" s="4" t="s">
        <v>128</v>
      </c>
      <c r="D18" s="4" t="s">
        <v>178</v>
      </c>
      <c r="E18" s="4">
        <v>128</v>
      </c>
      <c r="F18" s="3">
        <v>1001</v>
      </c>
      <c r="G18" s="3" t="s">
        <v>181</v>
      </c>
      <c r="H18" s="3">
        <v>5</v>
      </c>
      <c r="I18" s="160">
        <v>40</v>
      </c>
      <c r="J18" s="160">
        <v>0.5</v>
      </c>
      <c r="K18" s="160">
        <v>140</v>
      </c>
      <c r="L18" s="160">
        <v>10000</v>
      </c>
      <c r="M18" s="160">
        <v>51</v>
      </c>
    </row>
    <row r="19" spans="1:13" ht="17" customHeight="1" x14ac:dyDescent="0.2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7" customHeight="1" x14ac:dyDescent="0.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7" customHeight="1" x14ac:dyDescent="0.2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">
      <c r="C24" s="1"/>
      <c r="D24" s="1"/>
      <c r="E24" s="1"/>
      <c r="F24" s="1"/>
      <c r="G24" s="1"/>
      <c r="H24" s="1"/>
      <c r="I24" s="1"/>
      <c r="J24" s="154"/>
      <c r="K24" s="1"/>
      <c r="L24" s="1"/>
      <c r="M24" s="1"/>
    </row>
    <row r="26" spans="1:13" x14ac:dyDescent="0.2">
      <c r="M26" s="1"/>
    </row>
    <row r="27" spans="1:13" x14ac:dyDescent="0.2">
      <c r="M27" s="1"/>
    </row>
  </sheetData>
  <mergeCells count="5">
    <mergeCell ref="I1:M1"/>
    <mergeCell ref="F1:H1"/>
    <mergeCell ref="C1:E1"/>
    <mergeCell ref="B1:B2"/>
    <mergeCell ref="A1:A2"/>
  </mergeCells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3F45-6E33-7344-90F9-384985C5E6CB}">
  <dimension ref="A1:Q63"/>
  <sheetViews>
    <sheetView showGridLines="0" workbookViewId="0">
      <selection sqref="A1:A2"/>
    </sheetView>
  </sheetViews>
  <sheetFormatPr baseColWidth="10" defaultRowHeight="16" x14ac:dyDescent="0.2"/>
  <cols>
    <col min="2" max="2" width="15.1640625" style="1" customWidth="1"/>
    <col min="9" max="9" width="22.1640625" customWidth="1"/>
    <col min="10" max="10" width="21" customWidth="1"/>
    <col min="11" max="12" width="12.5" customWidth="1"/>
    <col min="13" max="13" width="14.6640625" customWidth="1"/>
    <col min="14" max="14" width="20.33203125" customWidth="1"/>
    <col min="15" max="15" width="41.83203125" customWidth="1"/>
  </cols>
  <sheetData>
    <row r="1" spans="1:15" ht="17" thickBot="1" x14ac:dyDescent="0.25">
      <c r="A1" s="178" t="s">
        <v>81</v>
      </c>
      <c r="B1" s="182" t="s">
        <v>87</v>
      </c>
      <c r="C1" s="190" t="s">
        <v>78</v>
      </c>
      <c r="D1" s="190"/>
      <c r="E1" s="190"/>
      <c r="F1" s="190"/>
      <c r="G1" s="190"/>
      <c r="H1" s="190"/>
      <c r="I1" s="190"/>
      <c r="J1" s="191"/>
      <c r="K1" s="188" t="s">
        <v>83</v>
      </c>
      <c r="L1" s="188"/>
      <c r="M1" s="188"/>
      <c r="N1" s="189"/>
      <c r="O1" s="180" t="s">
        <v>32</v>
      </c>
    </row>
    <row r="2" spans="1:15" ht="35" thickBot="1" x14ac:dyDescent="0.25">
      <c r="A2" s="179"/>
      <c r="B2" s="183"/>
      <c r="C2" s="92" t="s">
        <v>133</v>
      </c>
      <c r="D2" s="93" t="s">
        <v>130</v>
      </c>
      <c r="E2" s="93" t="s">
        <v>75</v>
      </c>
      <c r="F2" s="93" t="s">
        <v>76</v>
      </c>
      <c r="G2" s="93" t="s">
        <v>77</v>
      </c>
      <c r="H2" s="93" t="s">
        <v>79</v>
      </c>
      <c r="I2" s="93" t="s">
        <v>86</v>
      </c>
      <c r="J2" s="94" t="s">
        <v>80</v>
      </c>
      <c r="K2" s="106" t="s">
        <v>82</v>
      </c>
      <c r="L2" s="107" t="s">
        <v>88</v>
      </c>
      <c r="M2" s="107" t="s">
        <v>84</v>
      </c>
      <c r="N2" s="108" t="s">
        <v>85</v>
      </c>
      <c r="O2" s="181"/>
    </row>
    <row r="3" spans="1:15" x14ac:dyDescent="0.2">
      <c r="A3" s="148">
        <v>501350</v>
      </c>
      <c r="B3" s="149" t="s">
        <v>89</v>
      </c>
      <c r="C3" s="95" t="s">
        <v>131</v>
      </c>
      <c r="D3" s="155" t="s">
        <v>129</v>
      </c>
      <c r="E3" s="95">
        <v>40</v>
      </c>
      <c r="F3" s="96">
        <v>1</v>
      </c>
      <c r="G3" s="95">
        <v>240</v>
      </c>
      <c r="H3" s="95">
        <v>10000</v>
      </c>
      <c r="I3" s="96">
        <f t="shared" ref="I3" si="0">(G3-E3)/F3</f>
        <v>200</v>
      </c>
      <c r="J3" s="96">
        <f t="shared" ref="J3" si="1">FLOOR(H3/I3,1)+1</f>
        <v>51</v>
      </c>
      <c r="K3" s="112">
        <v>20</v>
      </c>
      <c r="L3" s="89">
        <f t="shared" ref="L3:L4" si="2">M3/60</f>
        <v>66.888888888888886</v>
      </c>
      <c r="M3" s="89">
        <f t="shared" ref="M3:M4" si="3">N3/60</f>
        <v>4013.3333333333335</v>
      </c>
      <c r="N3" s="115">
        <f t="shared" ref="N3" si="4">K3*(H3+J3*E3)</f>
        <v>240800</v>
      </c>
      <c r="O3" s="116" t="s">
        <v>90</v>
      </c>
    </row>
    <row r="4" spans="1:15" x14ac:dyDescent="0.2">
      <c r="A4" s="97">
        <v>502006</v>
      </c>
      <c r="B4" s="109" t="s">
        <v>91</v>
      </c>
      <c r="C4" s="4" t="s">
        <v>132</v>
      </c>
      <c r="D4" s="4" t="s">
        <v>129</v>
      </c>
      <c r="E4" s="4">
        <v>40</v>
      </c>
      <c r="F4" s="86">
        <v>1</v>
      </c>
      <c r="G4" s="4">
        <v>240</v>
      </c>
      <c r="H4" s="4">
        <v>0</v>
      </c>
      <c r="I4" s="86">
        <f t="shared" ref="I4" si="5">(G4-E4)/F4</f>
        <v>200</v>
      </c>
      <c r="J4" s="86">
        <f>FLOOR(H4/I4,1)+1</f>
        <v>1</v>
      </c>
      <c r="K4" s="5">
        <v>20</v>
      </c>
      <c r="L4" s="88">
        <f t="shared" si="2"/>
        <v>0.22222222222222224</v>
      </c>
      <c r="M4" s="88">
        <f t="shared" si="3"/>
        <v>13.333333333333334</v>
      </c>
      <c r="N4" s="85">
        <f t="shared" ref="N4" si="6">K4*(H4+J4*E4)</f>
        <v>800</v>
      </c>
      <c r="O4" s="67" t="s">
        <v>95</v>
      </c>
    </row>
    <row r="5" spans="1:15" x14ac:dyDescent="0.2">
      <c r="A5" s="100">
        <v>502007</v>
      </c>
      <c r="B5" s="110" t="s">
        <v>92</v>
      </c>
      <c r="C5" s="4" t="s">
        <v>152</v>
      </c>
      <c r="D5" s="4" t="s">
        <v>128</v>
      </c>
      <c r="E5" s="4">
        <v>40</v>
      </c>
      <c r="F5" s="86">
        <v>1</v>
      </c>
      <c r="G5" s="4">
        <v>240</v>
      </c>
      <c r="H5" s="4">
        <v>10000</v>
      </c>
      <c r="I5" s="86">
        <f t="shared" ref="I5:I6" si="7">(G5-E5)/F5</f>
        <v>200</v>
      </c>
      <c r="J5" s="86">
        <f>FLOOR(H5/I5,1)+1</f>
        <v>51</v>
      </c>
      <c r="K5" s="5">
        <v>20</v>
      </c>
      <c r="L5" s="88">
        <f t="shared" ref="L5:L6" si="8">M5/60</f>
        <v>66.888888888888886</v>
      </c>
      <c r="M5" s="88">
        <f t="shared" ref="M5:M6" si="9">N5/60</f>
        <v>4013.3333333333335</v>
      </c>
      <c r="N5" s="85">
        <f t="shared" ref="N5:N6" si="10">K5*(H5+J5*E5)</f>
        <v>240800</v>
      </c>
      <c r="O5" s="67"/>
    </row>
    <row r="6" spans="1:15" x14ac:dyDescent="0.2">
      <c r="A6" s="100">
        <v>502033</v>
      </c>
      <c r="B6" s="110" t="s">
        <v>96</v>
      </c>
      <c r="C6" s="4" t="s">
        <v>152</v>
      </c>
      <c r="D6" s="4" t="s">
        <v>129</v>
      </c>
      <c r="E6" s="4">
        <v>50</v>
      </c>
      <c r="F6" s="86">
        <v>2</v>
      </c>
      <c r="G6" s="4">
        <v>240</v>
      </c>
      <c r="H6" s="4">
        <v>10000</v>
      </c>
      <c r="I6" s="86">
        <f t="shared" si="7"/>
        <v>95</v>
      </c>
      <c r="J6" s="86">
        <f t="shared" ref="J6" si="11">FLOOR(H6/I6,1)+1</f>
        <v>106</v>
      </c>
      <c r="K6" s="5">
        <v>20</v>
      </c>
      <c r="L6" s="88">
        <f t="shared" si="8"/>
        <v>85</v>
      </c>
      <c r="M6" s="88">
        <f t="shared" si="9"/>
        <v>5100</v>
      </c>
      <c r="N6" s="85">
        <f t="shared" si="10"/>
        <v>306000</v>
      </c>
      <c r="O6" s="67"/>
    </row>
    <row r="7" spans="1:15" x14ac:dyDescent="0.2">
      <c r="A7" s="103">
        <v>502508</v>
      </c>
      <c r="B7" s="111" t="s">
        <v>96</v>
      </c>
      <c r="C7" s="4" t="s">
        <v>152</v>
      </c>
      <c r="D7" s="4" t="s">
        <v>129</v>
      </c>
      <c r="E7" s="4">
        <v>50</v>
      </c>
      <c r="F7" s="86">
        <v>2</v>
      </c>
      <c r="G7" s="4">
        <v>240</v>
      </c>
      <c r="H7" s="4">
        <v>10000</v>
      </c>
      <c r="I7" s="86">
        <f t="shared" ref="I7:I8" si="12">(G7-E7)/F7</f>
        <v>95</v>
      </c>
      <c r="J7" s="86">
        <f t="shared" ref="J7" si="13">FLOOR(H7/I7,1)+1</f>
        <v>106</v>
      </c>
      <c r="K7" s="5">
        <v>20</v>
      </c>
      <c r="L7" s="88">
        <f t="shared" ref="L7:L8" si="14">M7/60</f>
        <v>85</v>
      </c>
      <c r="M7" s="88">
        <f t="shared" ref="M7:M8" si="15">N7/60</f>
        <v>5100</v>
      </c>
      <c r="N7" s="85">
        <f t="shared" ref="N7:N8" si="16">K7*(H7+J7*E7)</f>
        <v>306000</v>
      </c>
      <c r="O7" s="67" t="s">
        <v>99</v>
      </c>
    </row>
    <row r="8" spans="1:15" x14ac:dyDescent="0.2">
      <c r="A8" s="97">
        <v>502507</v>
      </c>
      <c r="B8" s="109" t="s">
        <v>92</v>
      </c>
      <c r="C8" s="4" t="s">
        <v>131</v>
      </c>
      <c r="D8" s="66" t="s">
        <v>128</v>
      </c>
      <c r="E8" s="4">
        <v>40</v>
      </c>
      <c r="F8" s="86">
        <v>1</v>
      </c>
      <c r="G8" s="4">
        <v>240</v>
      </c>
      <c r="H8" s="4">
        <v>10000</v>
      </c>
      <c r="I8" s="86">
        <f t="shared" si="12"/>
        <v>200</v>
      </c>
      <c r="J8" s="86">
        <f>FLOOR(H8/I8,1)+1</f>
        <v>51</v>
      </c>
      <c r="K8" s="5">
        <v>20</v>
      </c>
      <c r="L8" s="88">
        <f t="shared" si="14"/>
        <v>66.888888888888886</v>
      </c>
      <c r="M8" s="88">
        <f t="shared" si="15"/>
        <v>4013.3333333333335</v>
      </c>
      <c r="N8" s="85">
        <f t="shared" si="16"/>
        <v>240800</v>
      </c>
      <c r="O8" s="67" t="s">
        <v>100</v>
      </c>
    </row>
    <row r="9" spans="1:15" x14ac:dyDescent="0.2">
      <c r="A9" s="103">
        <v>502511</v>
      </c>
      <c r="B9" s="111" t="s">
        <v>98</v>
      </c>
      <c r="C9" s="4" t="s">
        <v>152</v>
      </c>
      <c r="D9" s="4" t="s">
        <v>129</v>
      </c>
      <c r="E9" s="4">
        <v>50</v>
      </c>
      <c r="F9" s="86">
        <v>1</v>
      </c>
      <c r="G9" s="4">
        <v>340</v>
      </c>
      <c r="H9" s="4">
        <v>10000</v>
      </c>
      <c r="I9" s="86">
        <f t="shared" ref="I9:I10" si="17">(G9-E9)/F9</f>
        <v>290</v>
      </c>
      <c r="J9" s="86">
        <f t="shared" ref="J9" si="18">FLOOR(H9/I9,1)+1</f>
        <v>35</v>
      </c>
      <c r="K9" s="5">
        <v>20</v>
      </c>
      <c r="L9" s="88">
        <f t="shared" ref="L9:L10" si="19">M9/60</f>
        <v>65.277777777777771</v>
      </c>
      <c r="M9" s="88">
        <f t="shared" ref="M9:M10" si="20">N9/60</f>
        <v>3916.6666666666665</v>
      </c>
      <c r="N9" s="85">
        <f t="shared" ref="N9:N10" si="21">K9*(H9+J9*E9)</f>
        <v>235000</v>
      </c>
      <c r="O9" s="67"/>
    </row>
    <row r="10" spans="1:15" x14ac:dyDescent="0.2">
      <c r="A10" s="97">
        <v>502645</v>
      </c>
      <c r="B10" s="109" t="s">
        <v>101</v>
      </c>
      <c r="C10" s="4" t="s">
        <v>132</v>
      </c>
      <c r="D10" s="4" t="s">
        <v>128</v>
      </c>
      <c r="E10" s="4">
        <v>40</v>
      </c>
      <c r="F10" s="86">
        <v>1</v>
      </c>
      <c r="G10" s="4">
        <v>240</v>
      </c>
      <c r="H10" s="4">
        <v>0</v>
      </c>
      <c r="I10" s="86">
        <f t="shared" si="17"/>
        <v>200</v>
      </c>
      <c r="J10" s="86">
        <f>FLOOR(H10/I10,1)+1</f>
        <v>1</v>
      </c>
      <c r="K10" s="5">
        <v>20</v>
      </c>
      <c r="L10" s="88">
        <f t="shared" si="19"/>
        <v>0.22222222222222224</v>
      </c>
      <c r="M10" s="88">
        <f t="shared" si="20"/>
        <v>13.333333333333334</v>
      </c>
      <c r="N10" s="85">
        <f t="shared" si="21"/>
        <v>800</v>
      </c>
      <c r="O10" s="67" t="s">
        <v>102</v>
      </c>
    </row>
    <row r="11" spans="1:15" x14ac:dyDescent="0.2">
      <c r="A11" s="97">
        <v>502667</v>
      </c>
      <c r="B11" s="109" t="s">
        <v>101</v>
      </c>
      <c r="C11" s="4" t="s">
        <v>132</v>
      </c>
      <c r="D11" s="4" t="s">
        <v>128</v>
      </c>
      <c r="E11" s="4">
        <v>40</v>
      </c>
      <c r="F11" s="86">
        <v>1</v>
      </c>
      <c r="G11" s="4">
        <v>240</v>
      </c>
      <c r="H11" s="4">
        <v>0</v>
      </c>
      <c r="I11" s="86">
        <f t="shared" ref="I11:I15" si="22">(G11-E11)/F11</f>
        <v>200</v>
      </c>
      <c r="J11" s="86">
        <f>FLOOR(H11/I11,1)+1</f>
        <v>1</v>
      </c>
      <c r="K11" s="5">
        <v>20</v>
      </c>
      <c r="L11" s="88">
        <f t="shared" ref="L11:L14" si="23">M11/60</f>
        <v>0.22222222222222224</v>
      </c>
      <c r="M11" s="88">
        <f t="shared" ref="M11:M14" si="24">N11/60</f>
        <v>13.333333333333334</v>
      </c>
      <c r="N11" s="85">
        <f t="shared" ref="N11:N14" si="25">K11*(H11+J11*E11)</f>
        <v>800</v>
      </c>
      <c r="O11" s="67" t="s">
        <v>156</v>
      </c>
    </row>
    <row r="12" spans="1:15" x14ac:dyDescent="0.2">
      <c r="A12" s="97">
        <v>502695</v>
      </c>
      <c r="B12" s="109" t="s">
        <v>96</v>
      </c>
      <c r="C12" s="4" t="s">
        <v>131</v>
      </c>
      <c r="D12" s="16" t="s">
        <v>129</v>
      </c>
      <c r="E12" s="4">
        <v>40</v>
      </c>
      <c r="F12" s="86">
        <v>2</v>
      </c>
      <c r="G12" s="4">
        <v>240</v>
      </c>
      <c r="H12" s="4">
        <v>10000</v>
      </c>
      <c r="I12" s="86">
        <f t="shared" si="22"/>
        <v>100</v>
      </c>
      <c r="J12" s="86">
        <f t="shared" ref="J12:J13" si="26">FLOOR(H12/I12,1)+1</f>
        <v>101</v>
      </c>
      <c r="K12" s="5">
        <v>20</v>
      </c>
      <c r="L12" s="88">
        <f t="shared" si="23"/>
        <v>78</v>
      </c>
      <c r="M12" s="88">
        <f t="shared" si="24"/>
        <v>4680</v>
      </c>
      <c r="N12" s="85">
        <f t="shared" si="25"/>
        <v>280800</v>
      </c>
      <c r="O12" s="67" t="s">
        <v>104</v>
      </c>
    </row>
    <row r="13" spans="1:15" x14ac:dyDescent="0.2">
      <c r="A13" s="97">
        <v>502694</v>
      </c>
      <c r="B13" s="109" t="s">
        <v>98</v>
      </c>
      <c r="C13" s="4" t="s">
        <v>131</v>
      </c>
      <c r="D13" s="16" t="s">
        <v>129</v>
      </c>
      <c r="E13" s="4">
        <v>50</v>
      </c>
      <c r="F13" s="86">
        <v>2</v>
      </c>
      <c r="G13" s="4">
        <v>340</v>
      </c>
      <c r="H13" s="4">
        <v>10000</v>
      </c>
      <c r="I13" s="86">
        <f t="shared" si="22"/>
        <v>145</v>
      </c>
      <c r="J13" s="86">
        <f t="shared" si="26"/>
        <v>69</v>
      </c>
      <c r="K13" s="5">
        <v>20</v>
      </c>
      <c r="L13" s="88">
        <f t="shared" si="23"/>
        <v>74.722222222222214</v>
      </c>
      <c r="M13" s="88">
        <f t="shared" si="24"/>
        <v>4483.333333333333</v>
      </c>
      <c r="N13" s="85">
        <f t="shared" si="25"/>
        <v>269000</v>
      </c>
      <c r="O13" s="67" t="s">
        <v>104</v>
      </c>
    </row>
    <row r="14" spans="1:15" x14ac:dyDescent="0.2">
      <c r="A14" s="97">
        <v>502697</v>
      </c>
      <c r="B14" s="109" t="s">
        <v>105</v>
      </c>
      <c r="C14" s="4" t="s">
        <v>131</v>
      </c>
      <c r="D14" s="66" t="s">
        <v>128</v>
      </c>
      <c r="E14" s="4">
        <v>40</v>
      </c>
      <c r="F14" s="86">
        <v>1</v>
      </c>
      <c r="G14" s="4">
        <v>240</v>
      </c>
      <c r="H14" s="4">
        <v>10000</v>
      </c>
      <c r="I14" s="86">
        <f t="shared" si="22"/>
        <v>200</v>
      </c>
      <c r="J14" s="86">
        <f>FLOOR(H14/I14,1)+1</f>
        <v>51</v>
      </c>
      <c r="K14" s="5">
        <v>20</v>
      </c>
      <c r="L14" s="88">
        <f t="shared" si="23"/>
        <v>66.888888888888886</v>
      </c>
      <c r="M14" s="88">
        <f t="shared" si="24"/>
        <v>4013.3333333333335</v>
      </c>
      <c r="N14" s="85">
        <f t="shared" si="25"/>
        <v>240800</v>
      </c>
      <c r="O14" s="67" t="s">
        <v>106</v>
      </c>
    </row>
    <row r="15" spans="1:15" x14ac:dyDescent="0.2">
      <c r="A15" s="97">
        <v>502886</v>
      </c>
      <c r="B15" s="109" t="s">
        <v>107</v>
      </c>
      <c r="C15" s="4" t="s">
        <v>132</v>
      </c>
      <c r="D15" s="4" t="s">
        <v>129</v>
      </c>
      <c r="E15" s="4">
        <v>40</v>
      </c>
      <c r="F15" s="86">
        <v>1</v>
      </c>
      <c r="G15" s="4">
        <v>240</v>
      </c>
      <c r="H15" s="4">
        <v>0</v>
      </c>
      <c r="I15" s="86">
        <f t="shared" si="22"/>
        <v>200</v>
      </c>
      <c r="J15" s="86">
        <f>FLOOR(H15/I15,1)+1</f>
        <v>1</v>
      </c>
      <c r="K15" s="5">
        <v>20</v>
      </c>
      <c r="L15" s="88">
        <f t="shared" ref="L15" si="27">M15/60</f>
        <v>0.22222222222222224</v>
      </c>
      <c r="M15" s="88">
        <f t="shared" ref="M15" si="28">N15/60</f>
        <v>13.333333333333334</v>
      </c>
      <c r="N15" s="85">
        <f t="shared" ref="N15" si="29">K15*(H15+J15*E15)</f>
        <v>800</v>
      </c>
      <c r="O15" s="67" t="s">
        <v>153</v>
      </c>
    </row>
    <row r="16" spans="1:15" x14ac:dyDescent="0.2">
      <c r="A16" s="97">
        <v>502909</v>
      </c>
      <c r="B16" s="109" t="s">
        <v>109</v>
      </c>
      <c r="C16" s="4" t="s">
        <v>132</v>
      </c>
      <c r="D16" s="4" t="s">
        <v>129</v>
      </c>
      <c r="E16" s="4">
        <v>40</v>
      </c>
      <c r="F16" s="86">
        <v>1</v>
      </c>
      <c r="G16" s="4">
        <v>240</v>
      </c>
      <c r="H16" s="4">
        <v>0</v>
      </c>
      <c r="I16" s="86">
        <f t="shared" ref="I16" si="30">(G16-E16)/F16</f>
        <v>200</v>
      </c>
      <c r="J16" s="86">
        <f>FLOOR(H16/I16,1)+1</f>
        <v>1</v>
      </c>
      <c r="K16" s="5">
        <v>20</v>
      </c>
      <c r="L16" s="88">
        <f t="shared" ref="L16" si="31">M16/60</f>
        <v>0.22222222222222224</v>
      </c>
      <c r="M16" s="88">
        <f t="shared" ref="M16" si="32">N16/60</f>
        <v>13.333333333333334</v>
      </c>
      <c r="N16" s="85">
        <f t="shared" ref="N16" si="33">K16*(H16+J16*E16)</f>
        <v>800</v>
      </c>
      <c r="O16" s="67" t="s">
        <v>154</v>
      </c>
    </row>
    <row r="17" spans="1:15" x14ac:dyDescent="0.2">
      <c r="A17" s="97">
        <v>502930</v>
      </c>
      <c r="B17" s="109" t="s">
        <v>110</v>
      </c>
      <c r="C17" s="4" t="s">
        <v>132</v>
      </c>
      <c r="D17" s="4" t="s">
        <v>128</v>
      </c>
      <c r="E17" s="4">
        <v>40</v>
      </c>
      <c r="F17" s="86">
        <v>1</v>
      </c>
      <c r="G17" s="4">
        <v>240</v>
      </c>
      <c r="H17" s="4">
        <v>0</v>
      </c>
      <c r="I17" s="86">
        <f t="shared" ref="I17:I19" si="34">(G17-E17)/F17</f>
        <v>200</v>
      </c>
      <c r="J17" s="86">
        <f>FLOOR(H17/I17,1)+1</f>
        <v>1</v>
      </c>
      <c r="K17" s="5">
        <v>20</v>
      </c>
      <c r="L17" s="88">
        <f t="shared" ref="L17:L19" si="35">M17/60</f>
        <v>0.22222222222222224</v>
      </c>
      <c r="M17" s="88">
        <f t="shared" ref="M17:M19" si="36">N17/60</f>
        <v>13.333333333333334</v>
      </c>
      <c r="N17" s="85">
        <f t="shared" ref="N17:N19" si="37">K17*(H17+J17*E17)</f>
        <v>800</v>
      </c>
      <c r="O17" s="67" t="s">
        <v>108</v>
      </c>
    </row>
    <row r="18" spans="1:15" x14ac:dyDescent="0.2">
      <c r="A18" s="97">
        <v>503059</v>
      </c>
      <c r="B18" s="109" t="s">
        <v>111</v>
      </c>
      <c r="C18" s="4" t="s">
        <v>131</v>
      </c>
      <c r="D18" s="66" t="s">
        <v>128</v>
      </c>
      <c r="E18" s="4">
        <v>40</v>
      </c>
      <c r="F18" s="86">
        <v>0.5</v>
      </c>
      <c r="G18" s="4">
        <v>140</v>
      </c>
      <c r="H18" s="4">
        <v>10000</v>
      </c>
      <c r="I18" s="86">
        <f t="shared" si="34"/>
        <v>200</v>
      </c>
      <c r="J18" s="86">
        <f>FLOOR(H18/I18,1)+1</f>
        <v>51</v>
      </c>
      <c r="K18" s="5">
        <v>20</v>
      </c>
      <c r="L18" s="88">
        <f t="shared" si="35"/>
        <v>66.888888888888886</v>
      </c>
      <c r="M18" s="88">
        <f t="shared" si="36"/>
        <v>4013.3333333333335</v>
      </c>
      <c r="N18" s="85">
        <f t="shared" si="37"/>
        <v>240800</v>
      </c>
      <c r="O18" s="67" t="s">
        <v>126</v>
      </c>
    </row>
    <row r="19" spans="1:15" x14ac:dyDescent="0.2">
      <c r="A19" s="97">
        <v>503063</v>
      </c>
      <c r="B19" s="109" t="s">
        <v>112</v>
      </c>
      <c r="C19" s="4" t="s">
        <v>132</v>
      </c>
      <c r="D19" s="4" t="s">
        <v>129</v>
      </c>
      <c r="E19" s="4">
        <v>40</v>
      </c>
      <c r="F19" s="86">
        <v>1</v>
      </c>
      <c r="G19" s="4">
        <v>240</v>
      </c>
      <c r="H19" s="4">
        <v>0</v>
      </c>
      <c r="I19" s="86">
        <f t="shared" si="34"/>
        <v>200</v>
      </c>
      <c r="J19" s="86">
        <v>10</v>
      </c>
      <c r="K19" s="5">
        <v>20</v>
      </c>
      <c r="L19" s="88">
        <f t="shared" si="35"/>
        <v>2.2222222222222223</v>
      </c>
      <c r="M19" s="88">
        <f t="shared" si="36"/>
        <v>133.33333333333334</v>
      </c>
      <c r="N19" s="85">
        <f t="shared" si="37"/>
        <v>8000</v>
      </c>
      <c r="O19" s="67" t="s">
        <v>153</v>
      </c>
    </row>
    <row r="20" spans="1:15" x14ac:dyDescent="0.2">
      <c r="A20" s="97">
        <v>503074</v>
      </c>
      <c r="B20" s="109" t="s">
        <v>113</v>
      </c>
      <c r="C20" s="4" t="s">
        <v>132</v>
      </c>
      <c r="D20" s="4" t="s">
        <v>129</v>
      </c>
      <c r="E20" s="4">
        <v>40</v>
      </c>
      <c r="F20" s="86">
        <v>0.5</v>
      </c>
      <c r="G20" s="4">
        <v>140</v>
      </c>
      <c r="H20" s="4">
        <v>0</v>
      </c>
      <c r="I20" s="86">
        <f t="shared" ref="I20" si="38">(G20-E20)/F20</f>
        <v>200</v>
      </c>
      <c r="J20" s="86">
        <v>10</v>
      </c>
      <c r="K20" s="5">
        <v>20</v>
      </c>
      <c r="L20" s="88">
        <f t="shared" ref="L20" si="39">M20/60</f>
        <v>2.2222222222222223</v>
      </c>
      <c r="M20" s="88">
        <f t="shared" ref="M20" si="40">N20/60</f>
        <v>133.33333333333334</v>
      </c>
      <c r="N20" s="85">
        <f t="shared" ref="N20" si="41">K20*(H20+J20*E20)</f>
        <v>8000</v>
      </c>
      <c r="O20" s="67" t="s">
        <v>153</v>
      </c>
    </row>
    <row r="21" spans="1:15" x14ac:dyDescent="0.2">
      <c r="A21" s="97">
        <v>503283</v>
      </c>
      <c r="B21" s="109" t="s">
        <v>120</v>
      </c>
      <c r="C21" s="4" t="s">
        <v>132</v>
      </c>
      <c r="D21" s="4" t="s">
        <v>128</v>
      </c>
      <c r="E21" s="4">
        <v>40</v>
      </c>
      <c r="F21" s="86">
        <v>0.5</v>
      </c>
      <c r="G21" s="4">
        <v>140</v>
      </c>
      <c r="H21" s="4">
        <v>0</v>
      </c>
      <c r="I21" s="86">
        <f t="shared" ref="I21:I22" si="42">(G21-E21)/F21</f>
        <v>200</v>
      </c>
      <c r="J21" s="86">
        <v>10</v>
      </c>
      <c r="K21" s="5">
        <v>20</v>
      </c>
      <c r="L21" s="88">
        <f t="shared" ref="L21:L22" si="43">M21/60</f>
        <v>2.2222222222222223</v>
      </c>
      <c r="M21" s="88">
        <f t="shared" ref="M21:M22" si="44">N21/60</f>
        <v>133.33333333333334</v>
      </c>
      <c r="N21" s="85">
        <f t="shared" ref="N21:N22" si="45">K21*(H21+J21*E21)</f>
        <v>8000</v>
      </c>
      <c r="O21" s="67" t="s">
        <v>155</v>
      </c>
    </row>
    <row r="22" spans="1:15" x14ac:dyDescent="0.2">
      <c r="A22" s="97">
        <v>503736</v>
      </c>
      <c r="B22" s="109" t="s">
        <v>121</v>
      </c>
      <c r="C22" s="4" t="s">
        <v>131</v>
      </c>
      <c r="D22" s="66" t="s">
        <v>128</v>
      </c>
      <c r="E22" s="4">
        <v>40</v>
      </c>
      <c r="F22" s="86">
        <v>0.5</v>
      </c>
      <c r="G22" s="4">
        <v>140</v>
      </c>
      <c r="H22" s="4">
        <v>10000</v>
      </c>
      <c r="I22" s="86">
        <f t="shared" si="42"/>
        <v>200</v>
      </c>
      <c r="J22" s="86">
        <f>FLOOR(H22/I22,1)+1</f>
        <v>51</v>
      </c>
      <c r="K22" s="5">
        <v>20</v>
      </c>
      <c r="L22" s="88">
        <f t="shared" si="43"/>
        <v>66.888888888888886</v>
      </c>
      <c r="M22" s="88">
        <f t="shared" si="44"/>
        <v>4013.3333333333335</v>
      </c>
      <c r="N22" s="85">
        <f t="shared" si="45"/>
        <v>240800</v>
      </c>
      <c r="O22" s="67" t="s">
        <v>122</v>
      </c>
    </row>
    <row r="23" spans="1:15" x14ac:dyDescent="0.2">
      <c r="A23" s="97">
        <v>503740</v>
      </c>
      <c r="B23" s="109" t="s">
        <v>124</v>
      </c>
      <c r="C23" s="4" t="s">
        <v>131</v>
      </c>
      <c r="D23" s="66" t="s">
        <v>128</v>
      </c>
      <c r="E23" s="4">
        <v>40</v>
      </c>
      <c r="F23" s="86">
        <v>0.5</v>
      </c>
      <c r="G23" s="4">
        <v>140</v>
      </c>
      <c r="H23" s="4">
        <v>10000</v>
      </c>
      <c r="I23" s="86">
        <f t="shared" ref="I23" si="46">(G23-E23)/F23</f>
        <v>200</v>
      </c>
      <c r="J23" s="86">
        <f>FLOOR(H23/I23,1)+1</f>
        <v>51</v>
      </c>
      <c r="K23" s="5">
        <v>20</v>
      </c>
      <c r="L23" s="88">
        <f t="shared" ref="L23" si="47">M23/60</f>
        <v>66.888888888888886</v>
      </c>
      <c r="M23" s="88">
        <f t="shared" ref="M23" si="48">N23/60</f>
        <v>4013.3333333333335</v>
      </c>
      <c r="N23" s="85">
        <f t="shared" ref="N23" si="49">K23*(H23+J23*E23)</f>
        <v>240800</v>
      </c>
      <c r="O23" s="67" t="s">
        <v>123</v>
      </c>
    </row>
    <row r="24" spans="1:15" x14ac:dyDescent="0.2">
      <c r="A24" s="97">
        <v>504051</v>
      </c>
      <c r="B24" s="109" t="s">
        <v>127</v>
      </c>
      <c r="C24" s="4" t="s">
        <v>131</v>
      </c>
      <c r="D24" s="66" t="s">
        <v>128</v>
      </c>
      <c r="E24" s="4">
        <v>40</v>
      </c>
      <c r="F24" s="86">
        <v>0.5</v>
      </c>
      <c r="G24" s="4">
        <v>140</v>
      </c>
      <c r="H24" s="4">
        <v>10000</v>
      </c>
      <c r="I24" s="86">
        <f t="shared" ref="I24:I25" si="50">(G24-E24)/F24</f>
        <v>200</v>
      </c>
      <c r="J24" s="86">
        <f>FLOOR(H24/I24,1)+1</f>
        <v>51</v>
      </c>
      <c r="K24" s="5">
        <v>20</v>
      </c>
      <c r="L24" s="88">
        <f t="shared" ref="L24:L25" si="51">M24/60</f>
        <v>66.888888888888886</v>
      </c>
      <c r="M24" s="88">
        <f t="shared" ref="M24:M25" si="52">N24/60</f>
        <v>4013.3333333333335</v>
      </c>
      <c r="N24" s="85">
        <f t="shared" ref="N24:N25" si="53">K24*(H24+J24*E24)</f>
        <v>240800</v>
      </c>
      <c r="O24" s="67" t="s">
        <v>125</v>
      </c>
    </row>
    <row r="25" spans="1:15" x14ac:dyDescent="0.2">
      <c r="A25" s="97">
        <v>504052</v>
      </c>
      <c r="B25" s="109" t="s">
        <v>134</v>
      </c>
      <c r="C25" s="4" t="s">
        <v>131</v>
      </c>
      <c r="D25" s="16" t="s">
        <v>129</v>
      </c>
      <c r="E25" s="4">
        <v>40</v>
      </c>
      <c r="F25" s="86">
        <v>0.5</v>
      </c>
      <c r="G25" s="4">
        <v>140</v>
      </c>
      <c r="H25" s="4">
        <v>10000</v>
      </c>
      <c r="I25" s="86">
        <f t="shared" si="50"/>
        <v>200</v>
      </c>
      <c r="J25" s="86">
        <f t="shared" ref="J25" si="54">FLOOR(H25/I25,1)+1</f>
        <v>51</v>
      </c>
      <c r="K25" s="5">
        <v>20</v>
      </c>
      <c r="L25" s="88">
        <f t="shared" si="51"/>
        <v>66.888888888888886</v>
      </c>
      <c r="M25" s="88">
        <f t="shared" si="52"/>
        <v>4013.3333333333335</v>
      </c>
      <c r="N25" s="85">
        <f t="shared" si="53"/>
        <v>240800</v>
      </c>
      <c r="O25" s="67" t="s">
        <v>125</v>
      </c>
    </row>
    <row r="26" spans="1:15" x14ac:dyDescent="0.2">
      <c r="A26" s="97">
        <v>504070</v>
      </c>
      <c r="B26" s="109" t="s">
        <v>135</v>
      </c>
      <c r="C26" s="4" t="s">
        <v>131</v>
      </c>
      <c r="D26" s="66" t="s">
        <v>128</v>
      </c>
      <c r="E26" s="4">
        <v>40</v>
      </c>
      <c r="F26" s="86">
        <v>0.5</v>
      </c>
      <c r="G26" s="4">
        <v>140</v>
      </c>
      <c r="H26" s="4">
        <v>10000</v>
      </c>
      <c r="I26" s="86">
        <f t="shared" ref="I26:I27" si="55">(G26-E26)/F26</f>
        <v>200</v>
      </c>
      <c r="J26" s="86">
        <f>FLOOR(H26/I26,1)+1</f>
        <v>51</v>
      </c>
      <c r="K26" s="5">
        <v>20</v>
      </c>
      <c r="L26" s="88">
        <f t="shared" ref="L26:L27" si="56">M26/60</f>
        <v>66.888888888888886</v>
      </c>
      <c r="M26" s="88">
        <f t="shared" ref="M26:M27" si="57">N26/60</f>
        <v>4013.3333333333335</v>
      </c>
      <c r="N26" s="85">
        <f t="shared" ref="N26:N27" si="58">K26*(H26+J26*E26)</f>
        <v>240800</v>
      </c>
      <c r="O26" s="67" t="s">
        <v>136</v>
      </c>
    </row>
    <row r="27" spans="1:15" x14ac:dyDescent="0.2">
      <c r="A27" s="97">
        <v>504192</v>
      </c>
      <c r="B27" s="109" t="s">
        <v>124</v>
      </c>
      <c r="C27" s="4" t="s">
        <v>132</v>
      </c>
      <c r="D27" s="4" t="s">
        <v>128</v>
      </c>
      <c r="E27" s="4">
        <v>40</v>
      </c>
      <c r="F27" s="86">
        <v>0.5</v>
      </c>
      <c r="G27" s="4">
        <v>140</v>
      </c>
      <c r="H27" s="4">
        <v>0</v>
      </c>
      <c r="I27" s="86">
        <f t="shared" si="55"/>
        <v>200</v>
      </c>
      <c r="J27" s="86">
        <f>FLOOR(H27/I27,1)+1</f>
        <v>1</v>
      </c>
      <c r="K27" s="5">
        <v>20</v>
      </c>
      <c r="L27" s="88">
        <f t="shared" si="56"/>
        <v>0.22222222222222224</v>
      </c>
      <c r="M27" s="88">
        <f t="shared" si="57"/>
        <v>13.333333333333334</v>
      </c>
      <c r="N27" s="85">
        <f t="shared" si="58"/>
        <v>800</v>
      </c>
      <c r="O27" s="67" t="s">
        <v>123</v>
      </c>
    </row>
    <row r="28" spans="1:15" x14ac:dyDescent="0.2">
      <c r="A28" s="100">
        <v>504213</v>
      </c>
      <c r="B28" s="110" t="s">
        <v>121</v>
      </c>
      <c r="C28" s="4" t="s">
        <v>132</v>
      </c>
      <c r="D28" s="4" t="s">
        <v>128</v>
      </c>
      <c r="E28" s="4">
        <v>40</v>
      </c>
      <c r="F28" s="86">
        <v>0.5</v>
      </c>
      <c r="G28" s="4">
        <v>140</v>
      </c>
      <c r="H28" s="4">
        <v>0</v>
      </c>
      <c r="I28" s="86">
        <f t="shared" ref="I28:I31" si="59">(G28-E28)/F28</f>
        <v>200</v>
      </c>
      <c r="J28" s="86">
        <f>FLOOR(H28/I28,1)+1</f>
        <v>1</v>
      </c>
      <c r="K28" s="5">
        <v>20</v>
      </c>
      <c r="L28" s="88">
        <f t="shared" ref="L28:L31" si="60">M28/60</f>
        <v>0.22222222222222224</v>
      </c>
      <c r="M28" s="88">
        <f t="shared" ref="M28:M31" si="61">N28/60</f>
        <v>13.333333333333334</v>
      </c>
      <c r="N28" s="85">
        <f t="shared" ref="N28:N31" si="62">K28*(H28+J28*E28)</f>
        <v>800</v>
      </c>
      <c r="O28" s="67" t="s">
        <v>122</v>
      </c>
    </row>
    <row r="29" spans="1:15" x14ac:dyDescent="0.2">
      <c r="A29" s="97">
        <v>504242</v>
      </c>
      <c r="B29" s="109" t="s">
        <v>127</v>
      </c>
      <c r="C29" s="4" t="s">
        <v>132</v>
      </c>
      <c r="D29" s="4" t="s">
        <v>128</v>
      </c>
      <c r="E29" s="4">
        <v>40</v>
      </c>
      <c r="F29" s="86">
        <v>0.5</v>
      </c>
      <c r="G29" s="4">
        <v>140</v>
      </c>
      <c r="H29" s="4">
        <v>0</v>
      </c>
      <c r="I29" s="86">
        <f t="shared" si="59"/>
        <v>200</v>
      </c>
      <c r="J29" s="86">
        <f>FLOOR(H29/I29,1)+1</f>
        <v>1</v>
      </c>
      <c r="K29" s="5">
        <v>20</v>
      </c>
      <c r="L29" s="88">
        <f t="shared" si="60"/>
        <v>0.22222222222222224</v>
      </c>
      <c r="M29" s="88">
        <f t="shared" si="61"/>
        <v>13.333333333333334</v>
      </c>
      <c r="N29" s="85">
        <f t="shared" si="62"/>
        <v>800</v>
      </c>
      <c r="O29" s="67" t="s">
        <v>125</v>
      </c>
    </row>
    <row r="30" spans="1:15" x14ac:dyDescent="0.2">
      <c r="A30" s="97">
        <v>504243</v>
      </c>
      <c r="B30" s="109" t="s">
        <v>134</v>
      </c>
      <c r="C30" s="4" t="s">
        <v>132</v>
      </c>
      <c r="D30" s="4" t="s">
        <v>129</v>
      </c>
      <c r="E30" s="4">
        <v>40</v>
      </c>
      <c r="F30" s="86">
        <v>0.5</v>
      </c>
      <c r="G30" s="4">
        <v>140</v>
      </c>
      <c r="H30" s="4">
        <v>0</v>
      </c>
      <c r="I30" s="86">
        <f t="shared" si="59"/>
        <v>200</v>
      </c>
      <c r="J30" s="86">
        <f t="shared" ref="J30" si="63">FLOOR(H30/I30,1)+1</f>
        <v>1</v>
      </c>
      <c r="K30" s="5">
        <v>20</v>
      </c>
      <c r="L30" s="88">
        <f t="shared" si="60"/>
        <v>0.22222222222222224</v>
      </c>
      <c r="M30" s="88">
        <f t="shared" si="61"/>
        <v>13.333333333333334</v>
      </c>
      <c r="N30" s="85">
        <f t="shared" si="62"/>
        <v>800</v>
      </c>
      <c r="O30" s="67" t="s">
        <v>125</v>
      </c>
    </row>
    <row r="31" spans="1:15" x14ac:dyDescent="0.2">
      <c r="A31" s="97">
        <v>504244</v>
      </c>
      <c r="B31" s="109" t="s">
        <v>135</v>
      </c>
      <c r="C31" s="4" t="s">
        <v>132</v>
      </c>
      <c r="D31" s="4" t="s">
        <v>128</v>
      </c>
      <c r="E31" s="4">
        <v>40</v>
      </c>
      <c r="F31" s="86">
        <v>0.5</v>
      </c>
      <c r="G31" s="4">
        <v>140</v>
      </c>
      <c r="H31" s="4">
        <v>0</v>
      </c>
      <c r="I31" s="86">
        <f t="shared" si="59"/>
        <v>200</v>
      </c>
      <c r="J31" s="86">
        <f t="shared" ref="J31:J36" si="64">FLOOR(H31/I31,1)+1</f>
        <v>1</v>
      </c>
      <c r="K31" s="5">
        <v>20</v>
      </c>
      <c r="L31" s="88">
        <f t="shared" si="60"/>
        <v>0.22222222222222224</v>
      </c>
      <c r="M31" s="88">
        <f t="shared" si="61"/>
        <v>13.333333333333334</v>
      </c>
      <c r="N31" s="85">
        <f t="shared" si="62"/>
        <v>800</v>
      </c>
      <c r="O31" s="67" t="s">
        <v>136</v>
      </c>
    </row>
    <row r="32" spans="1:15" x14ac:dyDescent="0.2">
      <c r="A32" s="100">
        <v>504241</v>
      </c>
      <c r="B32" s="110" t="s">
        <v>121</v>
      </c>
      <c r="C32" s="4" t="s">
        <v>132</v>
      </c>
      <c r="D32" s="4" t="s">
        <v>128</v>
      </c>
      <c r="E32" s="4">
        <v>40</v>
      </c>
      <c r="F32" s="86">
        <v>0.5</v>
      </c>
      <c r="G32" s="4">
        <v>140</v>
      </c>
      <c r="H32" s="4">
        <v>0</v>
      </c>
      <c r="I32" s="86">
        <f t="shared" ref="I32" si="65">(G32-E32)/F32</f>
        <v>200</v>
      </c>
      <c r="J32" s="86">
        <f t="shared" si="64"/>
        <v>1</v>
      </c>
      <c r="K32" s="5">
        <v>20</v>
      </c>
      <c r="L32" s="88">
        <f t="shared" ref="L32" si="66">M32/60</f>
        <v>0.22222222222222224</v>
      </c>
      <c r="M32" s="88">
        <f t="shared" ref="M32" si="67">N32/60</f>
        <v>13.333333333333334</v>
      </c>
      <c r="N32" s="85">
        <f t="shared" ref="N32" si="68">K32*(H32+J32*E32)</f>
        <v>800</v>
      </c>
      <c r="O32" s="67" t="s">
        <v>137</v>
      </c>
    </row>
    <row r="33" spans="1:17" x14ac:dyDescent="0.2">
      <c r="A33" s="97">
        <v>504341</v>
      </c>
      <c r="B33" s="109" t="s">
        <v>121</v>
      </c>
      <c r="C33" s="4" t="s">
        <v>132</v>
      </c>
      <c r="D33" s="4" t="s">
        <v>128</v>
      </c>
      <c r="E33" s="4">
        <v>40</v>
      </c>
      <c r="F33" s="86">
        <v>0.5</v>
      </c>
      <c r="G33" s="4">
        <v>140</v>
      </c>
      <c r="H33" s="4">
        <v>0</v>
      </c>
      <c r="I33" s="86">
        <f t="shared" ref="I33:I36" si="69">(G33-E33)/F33</f>
        <v>200</v>
      </c>
      <c r="J33" s="86">
        <f t="shared" si="64"/>
        <v>1</v>
      </c>
      <c r="K33" s="5">
        <v>20</v>
      </c>
      <c r="L33" s="88">
        <f t="shared" ref="L33:L36" si="70">M33/60</f>
        <v>0.22222222222222224</v>
      </c>
      <c r="M33" s="88">
        <f t="shared" ref="M33:M36" si="71">N33/60</f>
        <v>13.333333333333334</v>
      </c>
      <c r="N33" s="85">
        <f t="shared" ref="N33:N36" si="72">K33*(H33+J33*E33)</f>
        <v>800</v>
      </c>
      <c r="O33" s="67" t="s">
        <v>138</v>
      </c>
    </row>
    <row r="34" spans="1:17" x14ac:dyDescent="0.2">
      <c r="A34" s="97">
        <v>504726</v>
      </c>
      <c r="B34" s="109" t="s">
        <v>139</v>
      </c>
      <c r="C34" s="4" t="s">
        <v>132</v>
      </c>
      <c r="D34" s="4" t="s">
        <v>128</v>
      </c>
      <c r="E34" s="4">
        <v>40</v>
      </c>
      <c r="F34" s="86">
        <v>0.5</v>
      </c>
      <c r="G34" s="4">
        <v>140</v>
      </c>
      <c r="H34" s="4">
        <v>0</v>
      </c>
      <c r="I34" s="86">
        <f t="shared" si="69"/>
        <v>200</v>
      </c>
      <c r="J34" s="86">
        <f t="shared" si="64"/>
        <v>1</v>
      </c>
      <c r="K34" s="5">
        <v>20</v>
      </c>
      <c r="L34" s="88">
        <f t="shared" si="70"/>
        <v>0.22222222222222224</v>
      </c>
      <c r="M34" s="88">
        <f t="shared" si="71"/>
        <v>13.333333333333334</v>
      </c>
      <c r="N34" s="85">
        <f t="shared" si="72"/>
        <v>800</v>
      </c>
      <c r="O34" s="67" t="s">
        <v>140</v>
      </c>
    </row>
    <row r="35" spans="1:17" x14ac:dyDescent="0.2">
      <c r="A35" s="97">
        <v>504728</v>
      </c>
      <c r="B35" s="109" t="s">
        <v>141</v>
      </c>
      <c r="C35" s="4" t="s">
        <v>132</v>
      </c>
      <c r="D35" s="4" t="s">
        <v>128</v>
      </c>
      <c r="E35" s="4">
        <v>40</v>
      </c>
      <c r="F35" s="86">
        <v>0.5</v>
      </c>
      <c r="G35" s="4">
        <v>140</v>
      </c>
      <c r="H35" s="4">
        <v>0</v>
      </c>
      <c r="I35" s="86">
        <f t="shared" si="69"/>
        <v>200</v>
      </c>
      <c r="J35" s="86">
        <f t="shared" si="64"/>
        <v>1</v>
      </c>
      <c r="K35" s="5">
        <v>20</v>
      </c>
      <c r="L35" s="88">
        <f t="shared" si="70"/>
        <v>0.22222222222222224</v>
      </c>
      <c r="M35" s="88">
        <f t="shared" si="71"/>
        <v>13.333333333333334</v>
      </c>
      <c r="N35" s="85">
        <f t="shared" si="72"/>
        <v>800</v>
      </c>
      <c r="O35" s="67" t="s">
        <v>142</v>
      </c>
    </row>
    <row r="36" spans="1:17" x14ac:dyDescent="0.2">
      <c r="A36" s="97">
        <v>504916</v>
      </c>
      <c r="B36" s="109" t="s">
        <v>143</v>
      </c>
      <c r="C36" s="4" t="s">
        <v>131</v>
      </c>
      <c r="D36" s="66" t="s">
        <v>128</v>
      </c>
      <c r="E36" s="4">
        <v>40</v>
      </c>
      <c r="F36" s="86">
        <v>0.5</v>
      </c>
      <c r="G36" s="4">
        <v>140</v>
      </c>
      <c r="H36" s="4">
        <v>10000</v>
      </c>
      <c r="I36" s="86">
        <f t="shared" si="69"/>
        <v>200</v>
      </c>
      <c r="J36" s="86">
        <f t="shared" si="64"/>
        <v>51</v>
      </c>
      <c r="K36" s="5">
        <v>20</v>
      </c>
      <c r="L36" s="88">
        <f t="shared" si="70"/>
        <v>66.888888888888886</v>
      </c>
      <c r="M36" s="88">
        <f t="shared" si="71"/>
        <v>4013.3333333333335</v>
      </c>
      <c r="N36" s="85">
        <f t="shared" si="72"/>
        <v>240800</v>
      </c>
      <c r="O36" s="67" t="s">
        <v>144</v>
      </c>
    </row>
    <row r="37" spans="1:17" x14ac:dyDescent="0.2">
      <c r="A37" s="97">
        <v>505060</v>
      </c>
      <c r="B37" s="109" t="s">
        <v>143</v>
      </c>
      <c r="C37" s="4" t="s">
        <v>132</v>
      </c>
      <c r="D37" s="4" t="s">
        <v>128</v>
      </c>
      <c r="E37" s="4">
        <v>40</v>
      </c>
      <c r="F37" s="86">
        <v>0.5</v>
      </c>
      <c r="G37" s="4">
        <v>140</v>
      </c>
      <c r="H37" s="4">
        <v>0</v>
      </c>
      <c r="I37" s="86">
        <f t="shared" ref="I37:I38" si="73">(G37-E37)/F37</f>
        <v>200</v>
      </c>
      <c r="J37" s="86">
        <f t="shared" ref="J37:J38" si="74">FLOOR(H37/I37,1)+1</f>
        <v>1</v>
      </c>
      <c r="K37" s="5">
        <v>20</v>
      </c>
      <c r="L37" s="88">
        <f t="shared" ref="L37:L38" si="75">M37/60</f>
        <v>0.22222222222222224</v>
      </c>
      <c r="M37" s="88">
        <f t="shared" ref="M37:M38" si="76">N37/60</f>
        <v>13.333333333333334</v>
      </c>
      <c r="N37" s="85">
        <f t="shared" ref="N37:N38" si="77">K37*(H37+J37*E37)</f>
        <v>800</v>
      </c>
      <c r="O37" s="67" t="s">
        <v>144</v>
      </c>
    </row>
    <row r="38" spans="1:17" x14ac:dyDescent="0.2">
      <c r="A38" s="158">
        <v>505167</v>
      </c>
      <c r="B38" s="159" t="s">
        <v>145</v>
      </c>
      <c r="C38" s="4" t="s">
        <v>131</v>
      </c>
      <c r="D38" s="66" t="s">
        <v>128</v>
      </c>
      <c r="E38" s="4">
        <v>40</v>
      </c>
      <c r="F38" s="86">
        <v>0.5</v>
      </c>
      <c r="G38" s="4">
        <v>140</v>
      </c>
      <c r="H38" s="4">
        <v>7000</v>
      </c>
      <c r="I38" s="86">
        <f t="shared" si="73"/>
        <v>200</v>
      </c>
      <c r="J38" s="86">
        <f t="shared" si="74"/>
        <v>36</v>
      </c>
      <c r="K38" s="5">
        <v>20</v>
      </c>
      <c r="L38" s="88">
        <f t="shared" si="75"/>
        <v>46.888888888888893</v>
      </c>
      <c r="M38" s="88">
        <f t="shared" si="76"/>
        <v>2813.3333333333335</v>
      </c>
      <c r="N38" s="85">
        <f t="shared" si="77"/>
        <v>168800</v>
      </c>
      <c r="O38" s="67" t="s">
        <v>146</v>
      </c>
    </row>
    <row r="39" spans="1:17" x14ac:dyDescent="0.2">
      <c r="A39" s="100">
        <v>505175</v>
      </c>
      <c r="B39" s="110" t="s">
        <v>147</v>
      </c>
      <c r="C39" s="4" t="s">
        <v>152</v>
      </c>
      <c r="D39" s="4" t="s">
        <v>128</v>
      </c>
      <c r="E39" s="4">
        <v>40</v>
      </c>
      <c r="F39" s="86">
        <v>0.5</v>
      </c>
      <c r="G39" s="4">
        <v>140</v>
      </c>
      <c r="H39" s="4">
        <v>6000</v>
      </c>
      <c r="I39" s="86">
        <f t="shared" ref="I39:I42" si="78">(G39-E39)/F39</f>
        <v>200</v>
      </c>
      <c r="J39" s="86">
        <f t="shared" ref="J39:J42" si="79">FLOOR(H39/I39,1)+1</f>
        <v>31</v>
      </c>
      <c r="K39" s="5">
        <v>20</v>
      </c>
      <c r="L39" s="88">
        <f t="shared" ref="L39:L42" si="80">M39/60</f>
        <v>40.222222222222221</v>
      </c>
      <c r="M39" s="88">
        <f t="shared" ref="M39:M42" si="81">N39/60</f>
        <v>2413.3333333333335</v>
      </c>
      <c r="N39" s="85">
        <f t="shared" ref="N39:N42" si="82">K39*(H39+J39*E39)</f>
        <v>144800</v>
      </c>
      <c r="O39" s="67" t="s">
        <v>150</v>
      </c>
    </row>
    <row r="40" spans="1:17" ht="17" customHeight="1" x14ac:dyDescent="0.2">
      <c r="A40" s="97">
        <v>510835</v>
      </c>
      <c r="B40" s="109" t="s">
        <v>148</v>
      </c>
      <c r="C40" s="4" t="s">
        <v>131</v>
      </c>
      <c r="D40" s="66" t="s">
        <v>128</v>
      </c>
      <c r="E40" s="4">
        <v>40</v>
      </c>
      <c r="F40" s="86">
        <v>0.5</v>
      </c>
      <c r="G40" s="4">
        <v>140</v>
      </c>
      <c r="H40" s="4">
        <v>3000</v>
      </c>
      <c r="I40" s="86">
        <f t="shared" si="78"/>
        <v>200</v>
      </c>
      <c r="J40" s="86">
        <f t="shared" si="79"/>
        <v>16</v>
      </c>
      <c r="K40" s="5">
        <v>20</v>
      </c>
      <c r="L40" s="88">
        <f t="shared" si="80"/>
        <v>20.222222222222221</v>
      </c>
      <c r="M40" s="88">
        <f t="shared" si="81"/>
        <v>1213.3333333333333</v>
      </c>
      <c r="N40" s="85">
        <f t="shared" si="82"/>
        <v>72800</v>
      </c>
      <c r="O40" s="67" t="s">
        <v>160</v>
      </c>
    </row>
    <row r="41" spans="1:17" x14ac:dyDescent="0.2">
      <c r="A41" s="97">
        <v>510836</v>
      </c>
      <c r="B41" s="109" t="s">
        <v>149</v>
      </c>
      <c r="C41" s="4" t="s">
        <v>131</v>
      </c>
      <c r="D41" s="66" t="s">
        <v>128</v>
      </c>
      <c r="E41" s="4">
        <v>40</v>
      </c>
      <c r="F41" s="86">
        <v>0.5</v>
      </c>
      <c r="G41" s="4">
        <v>140</v>
      </c>
      <c r="H41" s="4">
        <v>3000</v>
      </c>
      <c r="I41" s="86">
        <f t="shared" si="78"/>
        <v>200</v>
      </c>
      <c r="J41" s="86">
        <f t="shared" si="79"/>
        <v>16</v>
      </c>
      <c r="K41" s="5">
        <v>20</v>
      </c>
      <c r="L41" s="88">
        <f t="shared" si="80"/>
        <v>20.222222222222221</v>
      </c>
      <c r="M41" s="88">
        <f t="shared" si="81"/>
        <v>1213.3333333333333</v>
      </c>
      <c r="N41" s="85">
        <f t="shared" si="82"/>
        <v>72800</v>
      </c>
      <c r="O41" s="67" t="s">
        <v>163</v>
      </c>
    </row>
    <row r="42" spans="1:17" x14ac:dyDescent="0.2">
      <c r="A42" s="97">
        <v>510837</v>
      </c>
      <c r="B42" s="109" t="s">
        <v>151</v>
      </c>
      <c r="C42" s="4" t="s">
        <v>131</v>
      </c>
      <c r="D42" s="66" t="s">
        <v>128</v>
      </c>
      <c r="E42" s="4">
        <v>40</v>
      </c>
      <c r="F42" s="86">
        <v>0.5</v>
      </c>
      <c r="G42" s="4">
        <v>140</v>
      </c>
      <c r="H42" s="4">
        <v>3000</v>
      </c>
      <c r="I42" s="86">
        <f t="shared" si="78"/>
        <v>200</v>
      </c>
      <c r="J42" s="86">
        <f t="shared" si="79"/>
        <v>16</v>
      </c>
      <c r="K42" s="5">
        <v>20</v>
      </c>
      <c r="L42" s="88">
        <f t="shared" si="80"/>
        <v>20.222222222222221</v>
      </c>
      <c r="M42" s="88">
        <f t="shared" si="81"/>
        <v>1213.3333333333333</v>
      </c>
      <c r="N42" s="85">
        <f t="shared" si="82"/>
        <v>72800</v>
      </c>
      <c r="O42" s="67" t="s">
        <v>164</v>
      </c>
    </row>
    <row r="43" spans="1:17" x14ac:dyDescent="0.2">
      <c r="A43" s="97">
        <v>505715</v>
      </c>
      <c r="B43" s="109" t="s">
        <v>145</v>
      </c>
      <c r="C43" s="4" t="s">
        <v>132</v>
      </c>
      <c r="D43" s="4" t="s">
        <v>128</v>
      </c>
      <c r="E43" s="4">
        <v>40</v>
      </c>
      <c r="F43" s="86">
        <v>0.5</v>
      </c>
      <c r="G43" s="4">
        <v>140</v>
      </c>
      <c r="H43" s="4">
        <v>0</v>
      </c>
      <c r="I43" s="86">
        <f t="shared" ref="I43:I46" si="83">(G43-E43)/F43</f>
        <v>200</v>
      </c>
      <c r="J43" s="86">
        <f t="shared" ref="J43:J46" si="84">FLOOR(H43/I43,1)+1</f>
        <v>1</v>
      </c>
      <c r="K43" s="5">
        <v>20</v>
      </c>
      <c r="L43" s="88">
        <f t="shared" ref="L43:L46" si="85">M43/60</f>
        <v>0.22222222222222224</v>
      </c>
      <c r="M43" s="88">
        <f t="shared" ref="M43:M46" si="86">N43/60</f>
        <v>13.333333333333334</v>
      </c>
      <c r="N43" s="85">
        <f t="shared" ref="N43:N46" si="87">K43*(H43+J43*E43)</f>
        <v>800</v>
      </c>
      <c r="O43" s="67" t="s">
        <v>146</v>
      </c>
    </row>
    <row r="44" spans="1:17" x14ac:dyDescent="0.2">
      <c r="A44" s="97">
        <v>510909</v>
      </c>
      <c r="B44" s="109" t="s">
        <v>148</v>
      </c>
      <c r="C44" s="4" t="s">
        <v>132</v>
      </c>
      <c r="D44" s="66" t="s">
        <v>128</v>
      </c>
      <c r="E44" s="4">
        <v>40</v>
      </c>
      <c r="F44" s="86">
        <v>0.5</v>
      </c>
      <c r="G44" s="4">
        <v>140</v>
      </c>
      <c r="H44" s="4">
        <v>0</v>
      </c>
      <c r="I44" s="86">
        <f t="shared" si="83"/>
        <v>200</v>
      </c>
      <c r="J44" s="86">
        <f t="shared" si="84"/>
        <v>1</v>
      </c>
      <c r="K44" s="5">
        <v>20</v>
      </c>
      <c r="L44" s="88">
        <f t="shared" si="85"/>
        <v>0.22222222222222224</v>
      </c>
      <c r="M44" s="88">
        <f t="shared" si="86"/>
        <v>13.333333333333334</v>
      </c>
      <c r="N44" s="85">
        <f t="shared" si="87"/>
        <v>800</v>
      </c>
      <c r="O44" s="67" t="s">
        <v>160</v>
      </c>
    </row>
    <row r="45" spans="1:17" x14ac:dyDescent="0.2">
      <c r="A45" s="97">
        <v>510910</v>
      </c>
      <c r="B45" s="109" t="s">
        <v>149</v>
      </c>
      <c r="C45" s="4" t="s">
        <v>132</v>
      </c>
      <c r="D45" s="66" t="s">
        <v>128</v>
      </c>
      <c r="E45" s="4">
        <v>40</v>
      </c>
      <c r="F45" s="86">
        <v>0.5</v>
      </c>
      <c r="G45" s="4">
        <v>140</v>
      </c>
      <c r="H45" s="4">
        <v>0</v>
      </c>
      <c r="I45" s="86">
        <f t="shared" si="83"/>
        <v>200</v>
      </c>
      <c r="J45" s="86">
        <f t="shared" si="84"/>
        <v>1</v>
      </c>
      <c r="K45" s="5">
        <v>20</v>
      </c>
      <c r="L45" s="88">
        <f t="shared" si="85"/>
        <v>0.22222222222222224</v>
      </c>
      <c r="M45" s="88">
        <f t="shared" si="86"/>
        <v>13.333333333333334</v>
      </c>
      <c r="N45" s="85">
        <f t="shared" si="87"/>
        <v>800</v>
      </c>
      <c r="O45" s="67" t="s">
        <v>163</v>
      </c>
    </row>
    <row r="46" spans="1:17" x14ac:dyDescent="0.2">
      <c r="A46" s="97">
        <v>510911</v>
      </c>
      <c r="B46" s="109" t="s">
        <v>151</v>
      </c>
      <c r="C46" s="4" t="s">
        <v>132</v>
      </c>
      <c r="D46" s="66" t="s">
        <v>128</v>
      </c>
      <c r="E46" s="4">
        <v>40</v>
      </c>
      <c r="F46" s="86">
        <v>0.5</v>
      </c>
      <c r="G46" s="4">
        <v>140</v>
      </c>
      <c r="H46" s="4">
        <v>0</v>
      </c>
      <c r="I46" s="86">
        <f t="shared" si="83"/>
        <v>200</v>
      </c>
      <c r="J46" s="86">
        <f t="shared" si="84"/>
        <v>1</v>
      </c>
      <c r="K46" s="5">
        <v>20</v>
      </c>
      <c r="L46" s="88">
        <f t="shared" si="85"/>
        <v>0.22222222222222224</v>
      </c>
      <c r="M46" s="88">
        <f t="shared" si="86"/>
        <v>13.333333333333334</v>
      </c>
      <c r="N46" s="85">
        <f t="shared" si="87"/>
        <v>800</v>
      </c>
      <c r="O46" s="67" t="s">
        <v>164</v>
      </c>
    </row>
    <row r="47" spans="1:17" x14ac:dyDescent="0.2">
      <c r="A47" s="152">
        <v>510936</v>
      </c>
      <c r="B47" s="153" t="s">
        <v>157</v>
      </c>
      <c r="C47" s="4" t="s">
        <v>131</v>
      </c>
      <c r="D47" s="66" t="s">
        <v>128</v>
      </c>
      <c r="E47" s="4">
        <v>40</v>
      </c>
      <c r="F47" s="86">
        <v>0.5</v>
      </c>
      <c r="G47" s="4">
        <v>60</v>
      </c>
      <c r="H47" s="4">
        <v>2000</v>
      </c>
      <c r="I47" s="86">
        <f t="shared" ref="I47:I50" si="88">(G47-E47)/F47</f>
        <v>40</v>
      </c>
      <c r="J47" s="86">
        <f t="shared" ref="J47:J50" si="89">FLOOR(H47/I47,1)+1</f>
        <v>51</v>
      </c>
      <c r="K47" s="5">
        <v>20</v>
      </c>
      <c r="L47" s="88">
        <f t="shared" ref="L47:L50" si="90">M47/60</f>
        <v>22.444444444444446</v>
      </c>
      <c r="M47" s="88">
        <f t="shared" ref="M47:M50" si="91">N47/60</f>
        <v>1346.6666666666667</v>
      </c>
      <c r="N47" s="85">
        <f t="shared" ref="N47:N50" si="92">K47*(H47+J47*E47)</f>
        <v>80800</v>
      </c>
      <c r="O47" s="67" t="s">
        <v>165</v>
      </c>
      <c r="Q47" s="1"/>
    </row>
    <row r="48" spans="1:17" ht="18" customHeight="1" x14ac:dyDescent="0.2">
      <c r="A48" s="97">
        <v>508581</v>
      </c>
      <c r="B48" s="109" t="s">
        <v>158</v>
      </c>
      <c r="C48" s="4" t="s">
        <v>131</v>
      </c>
      <c r="D48" s="16" t="s">
        <v>129</v>
      </c>
      <c r="E48" s="4">
        <v>40</v>
      </c>
      <c r="F48" s="86">
        <v>0.5</v>
      </c>
      <c r="G48" s="4">
        <v>140</v>
      </c>
      <c r="H48" s="4">
        <v>4000</v>
      </c>
      <c r="I48" s="86">
        <f t="shared" si="88"/>
        <v>200</v>
      </c>
      <c r="J48" s="86">
        <f t="shared" si="89"/>
        <v>21</v>
      </c>
      <c r="K48" s="5">
        <v>20</v>
      </c>
      <c r="L48" s="88">
        <f t="shared" si="90"/>
        <v>26.888888888888889</v>
      </c>
      <c r="M48" s="88">
        <f t="shared" si="91"/>
        <v>1613.3333333333333</v>
      </c>
      <c r="N48" s="85">
        <f t="shared" si="92"/>
        <v>96800</v>
      </c>
      <c r="O48" s="67" t="s">
        <v>160</v>
      </c>
    </row>
    <row r="49" spans="1:15" ht="18" customHeight="1" x14ac:dyDescent="0.2">
      <c r="A49" s="97">
        <v>510776</v>
      </c>
      <c r="B49" s="109" t="s">
        <v>158</v>
      </c>
      <c r="C49" s="4" t="s">
        <v>132</v>
      </c>
      <c r="D49" s="16" t="s">
        <v>129</v>
      </c>
      <c r="E49" s="4">
        <v>40</v>
      </c>
      <c r="F49" s="86">
        <v>0.5</v>
      </c>
      <c r="G49" s="4">
        <v>140</v>
      </c>
      <c r="H49" s="4">
        <v>0</v>
      </c>
      <c r="I49" s="86">
        <f t="shared" ref="I49" si="93">(G49-E49)/F49</f>
        <v>200</v>
      </c>
      <c r="J49" s="86">
        <f t="shared" ref="J49" si="94">FLOOR(H49/I49,1)+1</f>
        <v>1</v>
      </c>
      <c r="K49" s="5">
        <v>20</v>
      </c>
      <c r="L49" s="88">
        <f t="shared" ref="L49" si="95">M49/60</f>
        <v>0.22222222222222224</v>
      </c>
      <c r="M49" s="88">
        <f t="shared" ref="M49" si="96">N49/60</f>
        <v>13.333333333333334</v>
      </c>
      <c r="N49" s="85">
        <f t="shared" ref="N49" si="97">K49*(H49+J49*E49)</f>
        <v>800</v>
      </c>
      <c r="O49" s="67" t="s">
        <v>160</v>
      </c>
    </row>
    <row r="50" spans="1:15" x14ac:dyDescent="0.2">
      <c r="A50" s="158">
        <v>508578</v>
      </c>
      <c r="B50" s="159" t="s">
        <v>159</v>
      </c>
      <c r="C50" s="4" t="s">
        <v>131</v>
      </c>
      <c r="D50" s="66" t="s">
        <v>128</v>
      </c>
      <c r="E50" s="4">
        <v>40</v>
      </c>
      <c r="F50" s="86">
        <v>0.5</v>
      </c>
      <c r="G50" s="4">
        <v>140</v>
      </c>
      <c r="H50" s="4">
        <v>1000</v>
      </c>
      <c r="I50" s="86">
        <f t="shared" si="88"/>
        <v>200</v>
      </c>
      <c r="J50" s="86">
        <f t="shared" si="89"/>
        <v>6</v>
      </c>
      <c r="K50" s="5">
        <v>20</v>
      </c>
      <c r="L50" s="88">
        <f t="shared" si="90"/>
        <v>6.8888888888888884</v>
      </c>
      <c r="M50" s="88">
        <f t="shared" si="91"/>
        <v>413.33333333333331</v>
      </c>
      <c r="N50" s="85">
        <f t="shared" si="92"/>
        <v>24800</v>
      </c>
      <c r="O50" s="67" t="s">
        <v>161</v>
      </c>
    </row>
    <row r="51" spans="1:15" x14ac:dyDescent="0.2">
      <c r="A51" s="97">
        <v>510738</v>
      </c>
      <c r="B51" s="109" t="s">
        <v>159</v>
      </c>
      <c r="C51" s="4" t="s">
        <v>132</v>
      </c>
      <c r="D51" s="66" t="s">
        <v>128</v>
      </c>
      <c r="E51" s="4">
        <v>40</v>
      </c>
      <c r="F51" s="86">
        <v>0.5</v>
      </c>
      <c r="G51" s="4">
        <v>140</v>
      </c>
      <c r="H51" s="4">
        <v>0</v>
      </c>
      <c r="I51" s="86">
        <f t="shared" ref="I51:I52" si="98">(G51-E51)/F51</f>
        <v>200</v>
      </c>
      <c r="J51" s="86">
        <f t="shared" ref="J51:J52" si="99">FLOOR(H51/I51,1)+1</f>
        <v>1</v>
      </c>
      <c r="K51" s="5">
        <v>20</v>
      </c>
      <c r="L51" s="88">
        <f t="shared" ref="L51:L52" si="100">M51/60</f>
        <v>0.22222222222222224</v>
      </c>
      <c r="M51" s="88">
        <f t="shared" ref="M51:M52" si="101">N51/60</f>
        <v>13.333333333333334</v>
      </c>
      <c r="N51" s="85">
        <f t="shared" ref="N51:N52" si="102">K51*(H51+J51*E51)</f>
        <v>800</v>
      </c>
      <c r="O51" s="67" t="s">
        <v>161</v>
      </c>
    </row>
    <row r="52" spans="1:15" x14ac:dyDescent="0.2">
      <c r="A52" s="97">
        <v>510769</v>
      </c>
      <c r="B52" s="109" t="s">
        <v>162</v>
      </c>
      <c r="C52" s="4" t="s">
        <v>131</v>
      </c>
      <c r="D52" s="66" t="s">
        <v>128</v>
      </c>
      <c r="E52" s="4">
        <v>40</v>
      </c>
      <c r="F52" s="86">
        <v>0.5</v>
      </c>
      <c r="G52" s="4">
        <v>140</v>
      </c>
      <c r="H52" s="4">
        <v>1000</v>
      </c>
      <c r="I52" s="86">
        <f t="shared" si="98"/>
        <v>200</v>
      </c>
      <c r="J52" s="86">
        <f t="shared" si="99"/>
        <v>6</v>
      </c>
      <c r="K52" s="5">
        <v>20</v>
      </c>
      <c r="L52" s="88">
        <f t="shared" si="100"/>
        <v>6.8888888888888884</v>
      </c>
      <c r="M52" s="88">
        <f t="shared" si="101"/>
        <v>413.33333333333331</v>
      </c>
      <c r="N52" s="85">
        <f t="shared" si="102"/>
        <v>24800</v>
      </c>
      <c r="O52" s="67" t="s">
        <v>166</v>
      </c>
    </row>
    <row r="53" spans="1:15" ht="17" thickBot="1" x14ac:dyDescent="0.25">
      <c r="A53" s="156">
        <v>510817</v>
      </c>
      <c r="B53" s="157" t="s">
        <v>162</v>
      </c>
      <c r="C53" s="72" t="s">
        <v>132</v>
      </c>
      <c r="D53" s="70" t="s">
        <v>128</v>
      </c>
      <c r="E53" s="72">
        <v>40</v>
      </c>
      <c r="F53" s="87">
        <v>0.5</v>
      </c>
      <c r="G53" s="72">
        <v>140</v>
      </c>
      <c r="H53" s="72">
        <v>0</v>
      </c>
      <c r="I53" s="87">
        <f t="shared" ref="I53" si="103">(G53-E53)/F53</f>
        <v>200</v>
      </c>
      <c r="J53" s="87">
        <f t="shared" ref="J53" si="104">FLOOR(H53/I53,1)+1</f>
        <v>1</v>
      </c>
      <c r="K53" s="78">
        <v>20</v>
      </c>
      <c r="L53" s="117">
        <f t="shared" ref="L53" si="105">M53/60</f>
        <v>0.22222222222222224</v>
      </c>
      <c r="M53" s="117">
        <f t="shared" ref="M53" si="106">N53/60</f>
        <v>13.333333333333334</v>
      </c>
      <c r="N53" s="90">
        <f t="shared" ref="N53" si="107">K53*(H53+J53*E53)</f>
        <v>800</v>
      </c>
      <c r="O53" s="73" t="s">
        <v>166</v>
      </c>
    </row>
    <row r="54" spans="1:15" ht="17" customHeight="1" x14ac:dyDescent="0.2">
      <c r="A54" s="1"/>
      <c r="C54" s="1"/>
      <c r="D54" s="1"/>
      <c r="E54" s="1"/>
      <c r="F54" s="1"/>
      <c r="G54" s="1"/>
      <c r="H54" s="1"/>
      <c r="I54" s="1"/>
      <c r="J54" s="1"/>
      <c r="K54" s="1"/>
      <c r="L54" s="150"/>
      <c r="M54" s="150"/>
      <c r="N54" s="1"/>
    </row>
    <row r="55" spans="1:15" ht="17" customHeight="1" x14ac:dyDescent="0.2">
      <c r="A55" s="1"/>
      <c r="C55" s="1"/>
      <c r="D55" s="1"/>
      <c r="E55" s="1"/>
      <c r="F55" s="1"/>
      <c r="G55" s="1"/>
      <c r="H55" s="1"/>
      <c r="I55" s="1"/>
      <c r="J55" s="1"/>
      <c r="K55" s="1"/>
      <c r="L55" s="150"/>
      <c r="M55" s="150"/>
      <c r="N55" s="1"/>
    </row>
    <row r="56" spans="1:15" ht="17" customHeight="1" x14ac:dyDescent="0.2">
      <c r="A56" s="1"/>
      <c r="C56" s="1"/>
      <c r="D56" s="1"/>
      <c r="E56" s="1"/>
      <c r="F56" s="1"/>
      <c r="G56" s="1"/>
      <c r="H56" s="1"/>
      <c r="I56" s="1"/>
      <c r="J56" s="1"/>
      <c r="K56" s="1"/>
      <c r="L56" s="150"/>
      <c r="M56" s="150"/>
      <c r="N56" s="1"/>
    </row>
    <row r="57" spans="1:15" x14ac:dyDescent="0.2">
      <c r="C57" s="1"/>
      <c r="D57" s="1"/>
      <c r="E57" s="1"/>
      <c r="F57" s="1"/>
      <c r="G57" s="1"/>
      <c r="H57" s="1"/>
      <c r="I57" s="1"/>
      <c r="J57" s="1"/>
      <c r="K57" s="1"/>
      <c r="L57" s="150"/>
      <c r="M57" s="150"/>
      <c r="N57" s="1"/>
    </row>
    <row r="58" spans="1:15" x14ac:dyDescent="0.2">
      <c r="A58" s="1"/>
      <c r="C58" s="1"/>
      <c r="D58" s="1"/>
      <c r="E58" s="1"/>
      <c r="F58" s="1"/>
      <c r="G58" s="1"/>
      <c r="H58" s="1"/>
      <c r="I58" s="1"/>
      <c r="J58" s="1"/>
      <c r="K58" s="1"/>
      <c r="L58" s="150"/>
      <c r="M58" s="150"/>
      <c r="N58" s="1"/>
    </row>
    <row r="59" spans="1:15" x14ac:dyDescent="0.2">
      <c r="A59" s="1"/>
      <c r="C59" s="1"/>
      <c r="D59" s="1"/>
      <c r="E59" s="1"/>
      <c r="F59" s="154"/>
      <c r="G59" s="1"/>
      <c r="H59" s="1"/>
      <c r="J59" s="1"/>
      <c r="K59" s="1"/>
      <c r="L59" s="1"/>
      <c r="M59" s="150"/>
      <c r="N59" s="1"/>
    </row>
    <row r="60" spans="1:15" x14ac:dyDescent="0.2">
      <c r="A60" s="99" t="s">
        <v>93</v>
      </c>
      <c r="O60" s="91"/>
    </row>
    <row r="61" spans="1:15" x14ac:dyDescent="0.2">
      <c r="A61" s="98" t="s">
        <v>94</v>
      </c>
      <c r="J61" s="1"/>
      <c r="K61" s="1"/>
      <c r="O61" s="91"/>
    </row>
    <row r="62" spans="1:15" x14ac:dyDescent="0.2">
      <c r="A62" s="101" t="s">
        <v>97</v>
      </c>
      <c r="I62" s="1"/>
      <c r="J62" s="1"/>
      <c r="K62" s="1"/>
      <c r="L62" s="1"/>
      <c r="M62" s="1"/>
    </row>
    <row r="63" spans="1:15" x14ac:dyDescent="0.2">
      <c r="A63" s="102" t="s">
        <v>103</v>
      </c>
    </row>
  </sheetData>
  <autoFilter ref="C2:J53" xr:uid="{A3D33F45-6E33-7344-90F9-384985C5E6CB}"/>
  <mergeCells count="5">
    <mergeCell ref="A1:A2"/>
    <mergeCell ref="O1:O2"/>
    <mergeCell ref="B1:B2"/>
    <mergeCell ref="K1:N1"/>
    <mergeCell ref="C1:J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254D-830D-3B4F-B928-13B231EE05C5}">
  <dimension ref="B1:U23"/>
  <sheetViews>
    <sheetView showGridLines="0" zoomScale="125" workbookViewId="0"/>
  </sheetViews>
  <sheetFormatPr baseColWidth="10" defaultRowHeight="16" x14ac:dyDescent="0.2"/>
  <cols>
    <col min="1" max="1" width="2.83203125" customWidth="1"/>
    <col min="2" max="2" width="36" style="1" customWidth="1"/>
    <col min="3" max="6" width="9" style="1" customWidth="1"/>
    <col min="7" max="9" width="12" style="1" customWidth="1"/>
    <col min="11" max="12" width="9" style="1" customWidth="1"/>
    <col min="13" max="17" width="14.5" style="1" customWidth="1"/>
    <col min="18" max="20" width="10.83203125" style="1"/>
    <col min="21" max="21" width="76" customWidth="1"/>
  </cols>
  <sheetData>
    <row r="1" spans="2:21" x14ac:dyDescent="0.2">
      <c r="B1" s="178" t="s">
        <v>11</v>
      </c>
      <c r="C1" s="184" t="s">
        <v>4</v>
      </c>
      <c r="D1" s="184"/>
      <c r="E1" s="184"/>
      <c r="F1" s="184"/>
      <c r="G1" s="185" t="s">
        <v>13</v>
      </c>
      <c r="H1" s="185"/>
      <c r="I1" s="185"/>
      <c r="J1" s="185"/>
      <c r="K1" s="187" t="s">
        <v>5</v>
      </c>
      <c r="L1" s="197"/>
      <c r="M1" s="197"/>
      <c r="N1" s="197"/>
      <c r="O1" s="197"/>
      <c r="P1" s="197"/>
      <c r="Q1" s="198"/>
      <c r="R1" s="199" t="s">
        <v>10</v>
      </c>
      <c r="S1" s="199"/>
      <c r="T1" s="200"/>
      <c r="U1" s="195" t="s">
        <v>32</v>
      </c>
    </row>
    <row r="2" spans="2:21" ht="17" thickBot="1" x14ac:dyDescent="0.25">
      <c r="B2" s="179"/>
      <c r="C2" s="18" t="s">
        <v>0</v>
      </c>
      <c r="D2" s="8" t="s">
        <v>1</v>
      </c>
      <c r="E2" s="8" t="s">
        <v>2</v>
      </c>
      <c r="F2" s="8" t="s">
        <v>3</v>
      </c>
      <c r="G2" s="9" t="s">
        <v>14</v>
      </c>
      <c r="H2" s="9" t="s">
        <v>15</v>
      </c>
      <c r="I2" s="17" t="s">
        <v>16</v>
      </c>
      <c r="J2" s="9" t="s">
        <v>17</v>
      </c>
      <c r="K2" s="13" t="s">
        <v>12</v>
      </c>
      <c r="L2" s="13" t="s">
        <v>33</v>
      </c>
      <c r="M2" s="10" t="s">
        <v>6</v>
      </c>
      <c r="N2" s="10" t="s">
        <v>7</v>
      </c>
      <c r="O2" s="10" t="s">
        <v>8</v>
      </c>
      <c r="P2" s="10" t="s">
        <v>34</v>
      </c>
      <c r="Q2" s="10" t="s">
        <v>35</v>
      </c>
      <c r="R2" s="11" t="s">
        <v>9</v>
      </c>
      <c r="S2" s="11" t="s">
        <v>30</v>
      </c>
      <c r="T2" s="12" t="s">
        <v>31</v>
      </c>
      <c r="U2" s="196"/>
    </row>
    <row r="3" spans="2:21" x14ac:dyDescent="0.2">
      <c r="B3" s="21" t="s">
        <v>21</v>
      </c>
      <c r="C3" s="16">
        <v>100</v>
      </c>
      <c r="D3" s="2">
        <v>1</v>
      </c>
      <c r="E3" s="2">
        <v>1.2250000000000001</v>
      </c>
      <c r="F3" s="2">
        <f>E3*D3/C3</f>
        <v>1.225E-2</v>
      </c>
      <c r="G3" s="5">
        <f>M3/D3</f>
        <v>0.1</v>
      </c>
      <c r="H3" s="6">
        <f>0.5*M3^2 /F3</f>
        <v>0.40816326530612251</v>
      </c>
      <c r="I3" s="15">
        <f t="shared" ref="I3:I9" si="0">MIN(G3,H3)</f>
        <v>0.1</v>
      </c>
      <c r="J3" s="7">
        <v>20</v>
      </c>
      <c r="K3" s="14">
        <v>1</v>
      </c>
      <c r="L3" s="14">
        <v>1</v>
      </c>
      <c r="M3" s="3">
        <v>0.1</v>
      </c>
      <c r="N3" s="3">
        <f>M3*5</f>
        <v>0.5</v>
      </c>
      <c r="O3" s="3">
        <f>M3*10</f>
        <v>1</v>
      </c>
      <c r="P3" s="3">
        <f xml:space="preserve"> 15 *L3</f>
        <v>15</v>
      </c>
      <c r="Q3" s="3">
        <f>30 *L3</f>
        <v>30</v>
      </c>
      <c r="R3" s="4">
        <v>500</v>
      </c>
      <c r="S3" s="4"/>
      <c r="T3" s="4"/>
      <c r="U3" s="19"/>
    </row>
    <row r="4" spans="2:21" x14ac:dyDescent="0.2">
      <c r="B4" s="21" t="s">
        <v>23</v>
      </c>
      <c r="C4" s="16">
        <v>100</v>
      </c>
      <c r="D4" s="2">
        <v>1</v>
      </c>
      <c r="E4" s="2">
        <v>1.2250000000000001</v>
      </c>
      <c r="F4" s="2">
        <f t="shared" ref="F4:F5" si="1">E4*D4/C4</f>
        <v>1.225E-2</v>
      </c>
      <c r="G4" s="5">
        <f t="shared" ref="G4:G5" si="2">M4/D4</f>
        <v>0.05</v>
      </c>
      <c r="H4" s="6">
        <f t="shared" ref="H4:H5" si="3">0.5*M4^2 /F4</f>
        <v>0.10204081632653063</v>
      </c>
      <c r="I4" s="15">
        <f t="shared" si="0"/>
        <v>0.05</v>
      </c>
      <c r="J4" s="7">
        <v>20</v>
      </c>
      <c r="K4" s="14">
        <v>0.5</v>
      </c>
      <c r="L4" s="14">
        <v>1</v>
      </c>
      <c r="M4" s="3">
        <f>$K4*M$3</f>
        <v>0.05</v>
      </c>
      <c r="N4" s="3">
        <f>$K4*N$3</f>
        <v>0.25</v>
      </c>
      <c r="O4" s="3">
        <f t="shared" ref="O4:O5" si="4">$K4*O$3</f>
        <v>0.5</v>
      </c>
      <c r="P4" s="3">
        <f t="shared" ref="P4:P14" si="5" xml:space="preserve"> 15 *L4</f>
        <v>15</v>
      </c>
      <c r="Q4" s="3">
        <f t="shared" ref="Q4:Q14" si="6">30 *L4</f>
        <v>30</v>
      </c>
      <c r="R4" s="4">
        <v>4070</v>
      </c>
      <c r="S4" s="4"/>
      <c r="T4" s="4"/>
      <c r="U4" s="20"/>
    </row>
    <row r="5" spans="2:21" x14ac:dyDescent="0.2">
      <c r="B5" s="21" t="s">
        <v>22</v>
      </c>
      <c r="C5" s="16">
        <v>100</v>
      </c>
      <c r="D5" s="2">
        <v>1</v>
      </c>
      <c r="E5" s="2">
        <v>1.2250000000000001</v>
      </c>
      <c r="F5" s="2">
        <f t="shared" si="1"/>
        <v>1.225E-2</v>
      </c>
      <c r="G5" s="5">
        <f t="shared" si="2"/>
        <v>0.2</v>
      </c>
      <c r="H5" s="6">
        <f t="shared" si="3"/>
        <v>1.6326530612244901</v>
      </c>
      <c r="I5" s="15">
        <f t="shared" si="0"/>
        <v>0.2</v>
      </c>
      <c r="J5" s="7">
        <v>20</v>
      </c>
      <c r="K5" s="14">
        <v>2</v>
      </c>
      <c r="L5" s="14">
        <v>1</v>
      </c>
      <c r="M5" s="3">
        <f>$K5*M$3</f>
        <v>0.2</v>
      </c>
      <c r="N5" s="3">
        <f>$K5*N$3</f>
        <v>1</v>
      </c>
      <c r="O5" s="3">
        <f t="shared" si="4"/>
        <v>2</v>
      </c>
      <c r="P5" s="3">
        <f t="shared" si="5"/>
        <v>15</v>
      </c>
      <c r="Q5" s="3">
        <f t="shared" si="6"/>
        <v>30</v>
      </c>
      <c r="R5" s="4">
        <v>65</v>
      </c>
      <c r="S5" s="4"/>
      <c r="T5" s="4"/>
      <c r="U5" s="20"/>
    </row>
    <row r="6" spans="2:21" x14ac:dyDescent="0.2">
      <c r="B6" s="21" t="s">
        <v>18</v>
      </c>
      <c r="C6" s="16">
        <v>100</v>
      </c>
      <c r="D6" s="2">
        <v>1</v>
      </c>
      <c r="E6" s="2">
        <v>1.2250000000000001</v>
      </c>
      <c r="F6" s="2">
        <f t="shared" ref="F6:F11" si="7">E6*D6/C6</f>
        <v>1.225E-2</v>
      </c>
      <c r="G6" s="5">
        <f t="shared" ref="G6:G11" si="8">M6/D6</f>
        <v>0.1</v>
      </c>
      <c r="H6" s="6">
        <f t="shared" ref="H6:H11" si="9">0.5*M6^2 /F6</f>
        <v>0.40816326530612251</v>
      </c>
      <c r="I6" s="15">
        <f t="shared" si="0"/>
        <v>0.1</v>
      </c>
      <c r="J6" s="7">
        <v>80</v>
      </c>
      <c r="K6" s="14">
        <v>1</v>
      </c>
      <c r="L6" s="14">
        <v>1</v>
      </c>
      <c r="M6" s="3">
        <v>0.1</v>
      </c>
      <c r="N6" s="3">
        <f t="shared" ref="N6:N12" si="10">M6*5</f>
        <v>0.5</v>
      </c>
      <c r="O6" s="3">
        <f t="shared" ref="O6:O11" si="11">M6*10</f>
        <v>1</v>
      </c>
      <c r="P6" s="3">
        <f t="shared" si="5"/>
        <v>15</v>
      </c>
      <c r="Q6" s="3">
        <f t="shared" si="6"/>
        <v>30</v>
      </c>
      <c r="R6" s="4">
        <v>1815</v>
      </c>
      <c r="S6" s="4"/>
      <c r="T6" s="4"/>
      <c r="U6" s="20"/>
    </row>
    <row r="7" spans="2:21" x14ac:dyDescent="0.2">
      <c r="B7" s="21" t="s">
        <v>19</v>
      </c>
      <c r="C7" s="16">
        <v>150</v>
      </c>
      <c r="D7" s="2">
        <v>1</v>
      </c>
      <c r="E7" s="2">
        <v>1.2250000000000001</v>
      </c>
      <c r="F7" s="2">
        <f t="shared" si="7"/>
        <v>8.1666666666666676E-3</v>
      </c>
      <c r="G7" s="5">
        <f t="shared" si="8"/>
        <v>0.1</v>
      </c>
      <c r="H7" s="6">
        <f t="shared" si="9"/>
        <v>0.61224489795918369</v>
      </c>
      <c r="I7" s="15">
        <f t="shared" si="0"/>
        <v>0.1</v>
      </c>
      <c r="J7" s="7">
        <v>40</v>
      </c>
      <c r="K7" s="14">
        <v>1</v>
      </c>
      <c r="L7" s="14">
        <v>1</v>
      </c>
      <c r="M7" s="3">
        <v>0.1</v>
      </c>
      <c r="N7" s="3">
        <f t="shared" si="10"/>
        <v>0.5</v>
      </c>
      <c r="O7" s="3">
        <f t="shared" si="11"/>
        <v>1</v>
      </c>
      <c r="P7" s="3">
        <f t="shared" si="5"/>
        <v>15</v>
      </c>
      <c r="Q7" s="3">
        <f t="shared" si="6"/>
        <v>30</v>
      </c>
      <c r="R7" s="4">
        <v>935</v>
      </c>
      <c r="S7" s="4"/>
      <c r="T7" s="4"/>
      <c r="U7" s="20"/>
    </row>
    <row r="8" spans="2:21" x14ac:dyDescent="0.2">
      <c r="B8" s="21" t="s">
        <v>20</v>
      </c>
      <c r="C8" s="16">
        <v>150</v>
      </c>
      <c r="D8" s="2">
        <v>1</v>
      </c>
      <c r="E8" s="2">
        <v>1.2250000000000001</v>
      </c>
      <c r="F8" s="2">
        <f t="shared" si="7"/>
        <v>8.1666666666666676E-3</v>
      </c>
      <c r="G8" s="5">
        <f t="shared" si="8"/>
        <v>0.1</v>
      </c>
      <c r="H8" s="6">
        <f t="shared" si="9"/>
        <v>0.61224489795918369</v>
      </c>
      <c r="I8" s="15">
        <f t="shared" si="0"/>
        <v>0.1</v>
      </c>
      <c r="J8" s="7">
        <v>20</v>
      </c>
      <c r="K8" s="14">
        <v>1</v>
      </c>
      <c r="L8" s="14">
        <v>1</v>
      </c>
      <c r="M8" s="3">
        <v>0.1</v>
      </c>
      <c r="N8" s="3">
        <f t="shared" si="10"/>
        <v>0.5</v>
      </c>
      <c r="O8" s="3">
        <f t="shared" si="11"/>
        <v>1</v>
      </c>
      <c r="P8" s="3">
        <f t="shared" si="5"/>
        <v>15</v>
      </c>
      <c r="Q8" s="3">
        <f t="shared" si="6"/>
        <v>30</v>
      </c>
      <c r="R8" s="4">
        <v>471</v>
      </c>
      <c r="S8" s="4"/>
      <c r="T8" s="4"/>
      <c r="U8" s="20"/>
    </row>
    <row r="9" spans="2:21" x14ac:dyDescent="0.2">
      <c r="B9" s="21" t="s">
        <v>24</v>
      </c>
      <c r="C9" s="16">
        <v>100</v>
      </c>
      <c r="D9" s="2">
        <v>1</v>
      </c>
      <c r="E9" s="2">
        <v>1.2250000000000001</v>
      </c>
      <c r="F9" s="2">
        <f t="shared" si="7"/>
        <v>1.225E-2</v>
      </c>
      <c r="G9" s="5">
        <f t="shared" si="8"/>
        <v>0.1</v>
      </c>
      <c r="H9" s="6">
        <f t="shared" si="9"/>
        <v>0.40816326530612251</v>
      </c>
      <c r="I9" s="15">
        <f t="shared" si="0"/>
        <v>0.1</v>
      </c>
      <c r="J9" s="7">
        <v>40</v>
      </c>
      <c r="K9" s="14">
        <v>1</v>
      </c>
      <c r="L9" s="14">
        <v>1</v>
      </c>
      <c r="M9" s="3">
        <v>0.1</v>
      </c>
      <c r="N9" s="3">
        <f t="shared" si="10"/>
        <v>0.5</v>
      </c>
      <c r="O9" s="3">
        <f t="shared" si="11"/>
        <v>1</v>
      </c>
      <c r="P9" s="3">
        <f t="shared" si="5"/>
        <v>15</v>
      </c>
      <c r="Q9" s="3">
        <f t="shared" si="6"/>
        <v>30</v>
      </c>
      <c r="R9" s="4">
        <v>919</v>
      </c>
      <c r="S9" s="4"/>
      <c r="T9" s="4"/>
      <c r="U9" s="20"/>
    </row>
    <row r="10" spans="2:21" x14ac:dyDescent="0.2">
      <c r="B10" s="22" t="s">
        <v>25</v>
      </c>
      <c r="C10" s="16">
        <v>150</v>
      </c>
      <c r="D10" s="2">
        <v>1</v>
      </c>
      <c r="E10" s="2">
        <v>1.2250000000000001</v>
      </c>
      <c r="F10" s="2">
        <f t="shared" si="7"/>
        <v>8.1666666666666676E-3</v>
      </c>
      <c r="G10" s="5">
        <f t="shared" si="8"/>
        <v>0.1</v>
      </c>
      <c r="H10" s="6">
        <f t="shared" si="9"/>
        <v>0.61224489795918369</v>
      </c>
      <c r="I10" s="15">
        <f t="shared" ref="I10" si="12">MIN(G10,H10)</f>
        <v>0.1</v>
      </c>
      <c r="J10" s="7">
        <v>100</v>
      </c>
      <c r="K10" s="14">
        <v>1</v>
      </c>
      <c r="L10" s="14">
        <v>1</v>
      </c>
      <c r="M10" s="3">
        <v>0.1</v>
      </c>
      <c r="N10" s="3">
        <f t="shared" si="10"/>
        <v>0.5</v>
      </c>
      <c r="O10" s="3">
        <f t="shared" si="11"/>
        <v>1</v>
      </c>
      <c r="P10" s="3">
        <f t="shared" si="5"/>
        <v>15</v>
      </c>
      <c r="Q10" s="3">
        <f t="shared" si="6"/>
        <v>30</v>
      </c>
      <c r="R10" s="4">
        <v>2353</v>
      </c>
      <c r="S10" s="4">
        <v>0.88700000000000001</v>
      </c>
      <c r="T10" s="4">
        <v>0.3</v>
      </c>
      <c r="U10" s="192"/>
    </row>
    <row r="11" spans="2:21" x14ac:dyDescent="0.2">
      <c r="B11" s="22" t="s">
        <v>26</v>
      </c>
      <c r="C11" s="16">
        <v>100</v>
      </c>
      <c r="D11" s="2">
        <v>1</v>
      </c>
      <c r="E11" s="2">
        <v>1.2250000000000001</v>
      </c>
      <c r="F11" s="2">
        <f t="shared" si="7"/>
        <v>1.225E-2</v>
      </c>
      <c r="G11" s="5">
        <f t="shared" si="8"/>
        <v>0.1</v>
      </c>
      <c r="H11" s="6">
        <f t="shared" si="9"/>
        <v>0.40816326530612251</v>
      </c>
      <c r="I11" s="15">
        <f t="shared" ref="I11" si="13">MIN(G11,H11)</f>
        <v>0.1</v>
      </c>
      <c r="J11" s="7">
        <v>100</v>
      </c>
      <c r="K11" s="14">
        <v>1</v>
      </c>
      <c r="L11" s="14">
        <v>1</v>
      </c>
      <c r="M11" s="3">
        <v>0.1</v>
      </c>
      <c r="N11" s="3">
        <f t="shared" si="10"/>
        <v>0.5</v>
      </c>
      <c r="O11" s="3">
        <f t="shared" si="11"/>
        <v>1</v>
      </c>
      <c r="P11" s="3">
        <f t="shared" si="5"/>
        <v>15</v>
      </c>
      <c r="Q11" s="3">
        <f t="shared" si="6"/>
        <v>30</v>
      </c>
      <c r="R11" s="4">
        <v>2342</v>
      </c>
      <c r="S11" s="4"/>
      <c r="T11" s="4"/>
      <c r="U11" s="193"/>
    </row>
    <row r="12" spans="2:21" x14ac:dyDescent="0.2">
      <c r="B12" s="22" t="s">
        <v>27</v>
      </c>
      <c r="C12" s="16">
        <v>120</v>
      </c>
      <c r="D12" s="2">
        <v>1</v>
      </c>
      <c r="E12" s="2">
        <v>1.2250000000000001</v>
      </c>
      <c r="F12" s="2">
        <f t="shared" ref="F12:F13" si="14">E12*D12/C12</f>
        <v>1.0208333333333335E-2</v>
      </c>
      <c r="G12" s="5">
        <f t="shared" ref="G12:G13" si="15">M12/D12</f>
        <v>0.1</v>
      </c>
      <c r="H12" s="6">
        <f t="shared" ref="H12:H13" si="16">0.5*M12^2 /F12</f>
        <v>0.48979591836734698</v>
      </c>
      <c r="I12" s="15">
        <f t="shared" ref="I12:I13" si="17">MIN(G12,H12)</f>
        <v>0.1</v>
      </c>
      <c r="J12" s="7">
        <v>100</v>
      </c>
      <c r="K12" s="14">
        <v>1</v>
      </c>
      <c r="L12" s="14">
        <v>1</v>
      </c>
      <c r="M12" s="3">
        <v>0.1</v>
      </c>
      <c r="N12" s="3">
        <f t="shared" si="10"/>
        <v>0.5</v>
      </c>
      <c r="O12" s="3">
        <f t="shared" ref="O12" si="18">M12*10</f>
        <v>1</v>
      </c>
      <c r="P12" s="3">
        <f t="shared" si="5"/>
        <v>15</v>
      </c>
      <c r="Q12" s="3">
        <f t="shared" si="6"/>
        <v>30</v>
      </c>
      <c r="R12" s="4">
        <v>2369</v>
      </c>
      <c r="S12" s="4"/>
      <c r="T12" s="4"/>
      <c r="U12" s="194"/>
    </row>
    <row r="13" spans="2:21" x14ac:dyDescent="0.2">
      <c r="B13" s="22" t="s">
        <v>28</v>
      </c>
      <c r="C13" s="16">
        <v>150</v>
      </c>
      <c r="D13" s="2">
        <v>1</v>
      </c>
      <c r="E13" s="2">
        <v>1.2250000000000001</v>
      </c>
      <c r="F13" s="2">
        <f t="shared" si="14"/>
        <v>8.1666666666666676E-3</v>
      </c>
      <c r="G13" s="5">
        <f t="shared" si="15"/>
        <v>0.2</v>
      </c>
      <c r="H13" s="6">
        <f t="shared" si="16"/>
        <v>2.4489795918367347</v>
      </c>
      <c r="I13" s="15">
        <f t="shared" si="17"/>
        <v>0.2</v>
      </c>
      <c r="J13" s="7">
        <v>100</v>
      </c>
      <c r="K13" s="14">
        <v>2</v>
      </c>
      <c r="L13" s="14">
        <v>1</v>
      </c>
      <c r="M13" s="3">
        <f>$K13*M$3</f>
        <v>0.2</v>
      </c>
      <c r="N13" s="3">
        <f t="shared" ref="N13:O16" si="19">$K13*N$3</f>
        <v>1</v>
      </c>
      <c r="O13" s="3">
        <f t="shared" si="19"/>
        <v>2</v>
      </c>
      <c r="P13" s="3">
        <f t="shared" si="5"/>
        <v>15</v>
      </c>
      <c r="Q13" s="3">
        <f t="shared" si="6"/>
        <v>30</v>
      </c>
      <c r="R13" s="4">
        <v>420</v>
      </c>
      <c r="S13" s="4">
        <v>0.85899999999999999</v>
      </c>
      <c r="T13" s="4"/>
      <c r="U13" s="20"/>
    </row>
    <row r="14" spans="2:21" x14ac:dyDescent="0.2">
      <c r="B14" s="22" t="s">
        <v>29</v>
      </c>
      <c r="C14" s="16">
        <v>150</v>
      </c>
      <c r="D14" s="2">
        <v>1</v>
      </c>
      <c r="E14" s="2">
        <v>1.2250000000000001</v>
      </c>
      <c r="F14" s="2">
        <f t="shared" ref="F14:F18" si="20">E14*D14/C14</f>
        <v>8.1666666666666676E-3</v>
      </c>
      <c r="G14" s="5">
        <f t="shared" ref="G14:G18" si="21">M14/D14</f>
        <v>0.05</v>
      </c>
      <c r="H14" s="6">
        <f t="shared" ref="H14:H18" si="22">0.5*M14^2 /F14</f>
        <v>0.15306122448979592</v>
      </c>
      <c r="I14" s="15">
        <f t="shared" ref="I14:I18" si="23">MIN(G14,H14)</f>
        <v>0.05</v>
      </c>
      <c r="J14" s="7">
        <v>100</v>
      </c>
      <c r="K14" s="14">
        <v>0.5</v>
      </c>
      <c r="L14" s="14">
        <v>1</v>
      </c>
      <c r="M14" s="3">
        <f>$K14*M$3</f>
        <v>0.05</v>
      </c>
      <c r="N14" s="3">
        <f t="shared" si="19"/>
        <v>0.25</v>
      </c>
      <c r="O14" s="3">
        <f t="shared" si="19"/>
        <v>0.5</v>
      </c>
      <c r="P14" s="3">
        <f t="shared" si="5"/>
        <v>15</v>
      </c>
      <c r="Q14" s="3">
        <f t="shared" si="6"/>
        <v>30</v>
      </c>
      <c r="R14" s="4">
        <v>20239</v>
      </c>
      <c r="S14" s="4">
        <v>0.877</v>
      </c>
      <c r="T14" s="4"/>
      <c r="U14" s="20"/>
    </row>
    <row r="15" spans="2:21" x14ac:dyDescent="0.2">
      <c r="B15" s="22" t="s">
        <v>36</v>
      </c>
      <c r="C15" s="16">
        <v>150</v>
      </c>
      <c r="D15" s="2">
        <v>1</v>
      </c>
      <c r="E15" s="2">
        <v>1.2250000000000001</v>
      </c>
      <c r="F15" s="2">
        <f t="shared" si="20"/>
        <v>8.1666666666666676E-3</v>
      </c>
      <c r="G15" s="5">
        <f t="shared" si="21"/>
        <v>0.2</v>
      </c>
      <c r="H15" s="6">
        <f t="shared" si="22"/>
        <v>2.4489795918367347</v>
      </c>
      <c r="I15" s="15">
        <f t="shared" si="23"/>
        <v>0.2</v>
      </c>
      <c r="J15" s="7">
        <v>100</v>
      </c>
      <c r="K15" s="14">
        <v>2</v>
      </c>
      <c r="L15" s="14">
        <v>0.75</v>
      </c>
      <c r="M15" s="3">
        <f>$K15*M$3</f>
        <v>0.2</v>
      </c>
      <c r="N15" s="3">
        <f t="shared" si="19"/>
        <v>1</v>
      </c>
      <c r="O15" s="3">
        <f t="shared" si="19"/>
        <v>2</v>
      </c>
      <c r="P15" s="3">
        <f t="shared" ref="P15:P20" si="24" xml:space="preserve"> 15 *L15</f>
        <v>11.25</v>
      </c>
      <c r="Q15" s="3">
        <f t="shared" ref="Q15:Q20" si="25">30 *L15</f>
        <v>22.5</v>
      </c>
      <c r="R15" s="4">
        <v>284</v>
      </c>
      <c r="S15" s="4">
        <v>0.86299999999999999</v>
      </c>
      <c r="T15" s="4"/>
      <c r="U15" s="20"/>
    </row>
    <row r="16" spans="2:21" x14ac:dyDescent="0.2">
      <c r="B16" s="22" t="s">
        <v>37</v>
      </c>
      <c r="C16" s="16">
        <v>150</v>
      </c>
      <c r="D16" s="2">
        <v>1</v>
      </c>
      <c r="E16" s="2">
        <v>1.2250000000000001</v>
      </c>
      <c r="F16" s="2">
        <f t="shared" si="20"/>
        <v>8.1666666666666676E-3</v>
      </c>
      <c r="G16" s="5">
        <f t="shared" si="21"/>
        <v>0.2</v>
      </c>
      <c r="H16" s="6">
        <f t="shared" si="22"/>
        <v>2.4489795918367347</v>
      </c>
      <c r="I16" s="15">
        <f t="shared" si="23"/>
        <v>0.2</v>
      </c>
      <c r="J16" s="7">
        <v>100</v>
      </c>
      <c r="K16" s="14">
        <v>2</v>
      </c>
      <c r="L16" s="14">
        <v>0.5</v>
      </c>
      <c r="M16" s="3">
        <f>$K16*M$3</f>
        <v>0.2</v>
      </c>
      <c r="N16" s="3">
        <f t="shared" si="19"/>
        <v>1</v>
      </c>
      <c r="O16" s="3">
        <f t="shared" si="19"/>
        <v>2</v>
      </c>
      <c r="P16" s="3">
        <f t="shared" si="24"/>
        <v>7.5</v>
      </c>
      <c r="Q16" s="3">
        <f t="shared" si="25"/>
        <v>15</v>
      </c>
      <c r="R16" s="4">
        <v>194</v>
      </c>
      <c r="S16" s="4">
        <v>0.91200000000000003</v>
      </c>
      <c r="T16" s="4"/>
      <c r="U16" s="20"/>
    </row>
    <row r="17" spans="2:21" x14ac:dyDescent="0.2">
      <c r="B17" s="22" t="s">
        <v>38</v>
      </c>
      <c r="C17" s="16">
        <v>150</v>
      </c>
      <c r="D17" s="2">
        <v>1</v>
      </c>
      <c r="E17" s="2">
        <v>1.2250000000000001</v>
      </c>
      <c r="F17" s="2">
        <f t="shared" si="20"/>
        <v>8.1666666666666676E-3</v>
      </c>
      <c r="G17" s="5">
        <f t="shared" si="21"/>
        <v>0.1</v>
      </c>
      <c r="H17" s="6">
        <f t="shared" si="22"/>
        <v>0.61224489795918369</v>
      </c>
      <c r="I17" s="15">
        <f t="shared" si="23"/>
        <v>0.1</v>
      </c>
      <c r="J17" s="7">
        <v>100</v>
      </c>
      <c r="K17" s="14">
        <v>1</v>
      </c>
      <c r="L17" s="14">
        <v>0.75</v>
      </c>
      <c r="M17" s="3">
        <v>0.1</v>
      </c>
      <c r="N17" s="3">
        <f t="shared" ref="N17:N18" si="26">M17*5</f>
        <v>0.5</v>
      </c>
      <c r="O17" s="3">
        <f t="shared" ref="O17:O18" si="27">M17*10</f>
        <v>1</v>
      </c>
      <c r="P17" s="3">
        <f t="shared" si="24"/>
        <v>11.25</v>
      </c>
      <c r="Q17" s="3">
        <f t="shared" si="25"/>
        <v>22.5</v>
      </c>
      <c r="R17" s="4">
        <v>1571</v>
      </c>
      <c r="S17" s="4">
        <v>0.89</v>
      </c>
      <c r="T17" s="4">
        <v>0.3</v>
      </c>
      <c r="U17" s="20"/>
    </row>
    <row r="18" spans="2:21" x14ac:dyDescent="0.2">
      <c r="B18" s="22" t="s">
        <v>39</v>
      </c>
      <c r="C18" s="16">
        <v>150</v>
      </c>
      <c r="D18" s="2">
        <v>1</v>
      </c>
      <c r="E18" s="2">
        <v>1.2250000000000001</v>
      </c>
      <c r="F18" s="2">
        <f t="shared" si="20"/>
        <v>8.1666666666666676E-3</v>
      </c>
      <c r="G18" s="5">
        <f t="shared" si="21"/>
        <v>0.1</v>
      </c>
      <c r="H18" s="6">
        <f t="shared" si="22"/>
        <v>0.61224489795918369</v>
      </c>
      <c r="I18" s="15">
        <f t="shared" si="23"/>
        <v>0.1</v>
      </c>
      <c r="J18" s="7">
        <v>100</v>
      </c>
      <c r="K18" s="14">
        <v>1</v>
      </c>
      <c r="L18" s="14">
        <v>0.5</v>
      </c>
      <c r="M18" s="3">
        <v>0.1</v>
      </c>
      <c r="N18" s="3">
        <f t="shared" si="26"/>
        <v>0.5</v>
      </c>
      <c r="O18" s="3">
        <f t="shared" si="27"/>
        <v>1</v>
      </c>
      <c r="P18" s="3">
        <f t="shared" si="24"/>
        <v>7.5</v>
      </c>
      <c r="Q18" s="3">
        <f t="shared" si="25"/>
        <v>15</v>
      </c>
      <c r="R18" s="4">
        <v>1008</v>
      </c>
      <c r="S18" s="4">
        <v>0.92800000000000005</v>
      </c>
      <c r="T18" s="4">
        <v>0.3</v>
      </c>
      <c r="U18" s="20"/>
    </row>
    <row r="19" spans="2:21" x14ac:dyDescent="0.2">
      <c r="B19" s="22" t="s">
        <v>40</v>
      </c>
      <c r="C19" s="16">
        <v>150</v>
      </c>
      <c r="D19" s="2">
        <v>1</v>
      </c>
      <c r="E19" s="2">
        <v>1.2250000000000001</v>
      </c>
      <c r="F19" s="2">
        <f t="shared" ref="F19:F20" si="28">E19*D19/C19</f>
        <v>8.1666666666666676E-3</v>
      </c>
      <c r="G19" s="5">
        <f t="shared" ref="G19:G20" si="29">M19/D19</f>
        <v>0.05</v>
      </c>
      <c r="H19" s="6">
        <f t="shared" ref="H19:H20" si="30">0.5*M19^2 /F19</f>
        <v>0.15306122448979592</v>
      </c>
      <c r="I19" s="15">
        <f t="shared" ref="I19:I20" si="31">MIN(G19,H19)</f>
        <v>0.05</v>
      </c>
      <c r="J19" s="7">
        <v>100</v>
      </c>
      <c r="K19" s="14">
        <v>0.5</v>
      </c>
      <c r="L19" s="14">
        <v>0.75</v>
      </c>
      <c r="M19" s="3">
        <f t="shared" ref="M19:O20" si="32">$K19*M$3</f>
        <v>0.05</v>
      </c>
      <c r="N19" s="3">
        <f t="shared" si="32"/>
        <v>0.25</v>
      </c>
      <c r="O19" s="3">
        <f t="shared" si="32"/>
        <v>0.5</v>
      </c>
      <c r="P19" s="3">
        <f t="shared" si="24"/>
        <v>11.25</v>
      </c>
      <c r="Q19" s="3">
        <f t="shared" si="25"/>
        <v>22.5</v>
      </c>
      <c r="R19" s="4">
        <v>12181</v>
      </c>
      <c r="S19" s="4">
        <v>0.88900000000000001</v>
      </c>
      <c r="T19" s="4"/>
      <c r="U19" s="20"/>
    </row>
    <row r="20" spans="2:21" x14ac:dyDescent="0.2">
      <c r="B20" s="22" t="s">
        <v>41</v>
      </c>
      <c r="C20" s="16">
        <v>150</v>
      </c>
      <c r="D20" s="2">
        <v>1</v>
      </c>
      <c r="E20" s="2">
        <v>1.2250000000000001</v>
      </c>
      <c r="F20" s="2">
        <f t="shared" si="28"/>
        <v>8.1666666666666676E-3</v>
      </c>
      <c r="G20" s="5">
        <f t="shared" si="29"/>
        <v>0.05</v>
      </c>
      <c r="H20" s="6">
        <f t="shared" si="30"/>
        <v>0.15306122448979592</v>
      </c>
      <c r="I20" s="15">
        <f t="shared" si="31"/>
        <v>0.05</v>
      </c>
      <c r="J20" s="7">
        <v>100</v>
      </c>
      <c r="K20" s="14">
        <v>0.5</v>
      </c>
      <c r="L20" s="14">
        <v>0.5</v>
      </c>
      <c r="M20" s="3">
        <f t="shared" si="32"/>
        <v>0.05</v>
      </c>
      <c r="N20" s="3">
        <f t="shared" si="32"/>
        <v>0.25</v>
      </c>
      <c r="O20" s="3">
        <f t="shared" si="32"/>
        <v>0.5</v>
      </c>
      <c r="P20" s="3">
        <f t="shared" si="24"/>
        <v>7.5</v>
      </c>
      <c r="Q20" s="3">
        <f t="shared" si="25"/>
        <v>15</v>
      </c>
      <c r="R20" s="4">
        <v>7106</v>
      </c>
      <c r="S20" s="4">
        <v>0.92100000000000004</v>
      </c>
      <c r="T20" s="4"/>
      <c r="U20" s="20"/>
    </row>
    <row r="21" spans="2:21" x14ac:dyDescent="0.2">
      <c r="J21" s="1"/>
      <c r="K21"/>
      <c r="L21"/>
    </row>
    <row r="22" spans="2:21" x14ac:dyDescent="0.2">
      <c r="J22" s="1"/>
      <c r="K22"/>
      <c r="L22"/>
    </row>
    <row r="23" spans="2:21" x14ac:dyDescent="0.2">
      <c r="J23" s="1"/>
      <c r="K23"/>
      <c r="L23"/>
    </row>
  </sheetData>
  <mergeCells count="7">
    <mergeCell ref="U10:U12"/>
    <mergeCell ref="U1:U2"/>
    <mergeCell ref="K1:Q1"/>
    <mergeCell ref="C1:F1"/>
    <mergeCell ref="B1:B2"/>
    <mergeCell ref="G1:J1"/>
    <mergeCell ref="R1:T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AF1F-8DD4-D741-AF06-58D03B96E08C}">
  <dimension ref="A1:Q21"/>
  <sheetViews>
    <sheetView showGridLines="0" zoomScale="112" workbookViewId="0"/>
  </sheetViews>
  <sheetFormatPr baseColWidth="10" defaultRowHeight="16" x14ac:dyDescent="0.2"/>
  <cols>
    <col min="2" max="2" width="35" customWidth="1"/>
    <col min="3" max="3" width="0.1640625" customWidth="1"/>
    <col min="10" max="10" width="34.83203125" customWidth="1"/>
    <col min="11" max="11" width="13.6640625" bestFit="1" customWidth="1"/>
  </cols>
  <sheetData>
    <row r="1" spans="1:12" x14ac:dyDescent="0.2">
      <c r="B1" s="178" t="s">
        <v>11</v>
      </c>
      <c r="C1" s="165"/>
      <c r="D1" s="186" t="s">
        <v>74</v>
      </c>
      <c r="E1" s="186"/>
      <c r="F1" s="186"/>
      <c r="G1" s="186"/>
      <c r="H1" s="199" t="s">
        <v>10</v>
      </c>
      <c r="I1" s="199"/>
      <c r="J1" s="180" t="s">
        <v>32</v>
      </c>
    </row>
    <row r="2" spans="1:12" ht="17" thickBot="1" x14ac:dyDescent="0.25">
      <c r="B2" s="202"/>
      <c r="C2" s="79" t="s">
        <v>35</v>
      </c>
      <c r="D2" s="79" t="s">
        <v>52</v>
      </c>
      <c r="E2" s="79" t="s">
        <v>59</v>
      </c>
      <c r="F2" s="79" t="s">
        <v>53</v>
      </c>
      <c r="G2" s="79" t="s">
        <v>54</v>
      </c>
      <c r="H2" s="72" t="s">
        <v>9</v>
      </c>
      <c r="I2" s="72" t="s">
        <v>30</v>
      </c>
      <c r="J2" s="201"/>
    </row>
    <row r="3" spans="1:12" x14ac:dyDescent="0.2">
      <c r="B3" s="84" t="s">
        <v>38</v>
      </c>
      <c r="C3" s="75">
        <v>22.5</v>
      </c>
      <c r="D3" s="75" t="s">
        <v>56</v>
      </c>
      <c r="E3" s="75" t="s">
        <v>56</v>
      </c>
      <c r="F3" s="75" t="s">
        <v>56</v>
      </c>
      <c r="G3" s="75" t="s">
        <v>56</v>
      </c>
      <c r="H3" s="76">
        <v>1571</v>
      </c>
      <c r="I3" s="119">
        <v>1.1859999999999999</v>
      </c>
      <c r="J3" s="77" t="s">
        <v>114</v>
      </c>
      <c r="K3" s="118"/>
    </row>
    <row r="4" spans="1:12" ht="17" thickBot="1" x14ac:dyDescent="0.25">
      <c r="B4" s="84" t="s">
        <v>119</v>
      </c>
      <c r="C4" s="75"/>
      <c r="D4" s="75" t="s">
        <v>56</v>
      </c>
      <c r="E4" s="75" t="s">
        <v>56</v>
      </c>
      <c r="F4" s="75">
        <v>1</v>
      </c>
      <c r="G4" s="75">
        <v>0.1</v>
      </c>
      <c r="H4" s="76">
        <v>3366</v>
      </c>
      <c r="I4" s="119">
        <v>0.98699999999999999</v>
      </c>
      <c r="J4" s="77" t="s">
        <v>115</v>
      </c>
      <c r="K4" s="118"/>
    </row>
    <row r="5" spans="1:12" ht="17" hidden="1" thickBot="1" x14ac:dyDescent="0.25">
      <c r="B5" s="82" t="s">
        <v>55</v>
      </c>
      <c r="C5" s="65"/>
      <c r="D5" s="3">
        <v>2</v>
      </c>
      <c r="E5" s="80">
        <v>50000</v>
      </c>
      <c r="F5" s="3">
        <v>1</v>
      </c>
      <c r="G5" s="3">
        <v>0.1</v>
      </c>
      <c r="H5" s="4">
        <v>3372</v>
      </c>
      <c r="I5" s="120"/>
      <c r="J5" s="67"/>
      <c r="K5" s="118"/>
    </row>
    <row r="6" spans="1:12" ht="17" hidden="1" thickBot="1" x14ac:dyDescent="0.25">
      <c r="B6" s="82" t="s">
        <v>57</v>
      </c>
      <c r="C6" s="65"/>
      <c r="D6" s="3">
        <v>20</v>
      </c>
      <c r="E6" s="80">
        <v>50000</v>
      </c>
      <c r="F6" s="3">
        <v>1</v>
      </c>
      <c r="G6" s="3">
        <v>0.1</v>
      </c>
      <c r="H6" s="4">
        <v>3368</v>
      </c>
      <c r="I6" s="120"/>
      <c r="J6" s="67"/>
      <c r="K6" s="118"/>
    </row>
    <row r="7" spans="1:12" ht="17" hidden="1" thickBot="1" x14ac:dyDescent="0.25">
      <c r="B7" s="82" t="s">
        <v>58</v>
      </c>
      <c r="C7" s="65"/>
      <c r="D7" s="3">
        <v>200</v>
      </c>
      <c r="E7" s="80">
        <v>50000</v>
      </c>
      <c r="F7" s="3">
        <v>1</v>
      </c>
      <c r="G7" s="3">
        <v>0.1</v>
      </c>
      <c r="H7" s="4">
        <v>3379</v>
      </c>
      <c r="I7" s="120"/>
      <c r="J7" s="67"/>
      <c r="K7" s="118"/>
    </row>
    <row r="8" spans="1:12" ht="17" hidden="1" thickBot="1" x14ac:dyDescent="0.25">
      <c r="B8" s="124" t="s">
        <v>60</v>
      </c>
      <c r="C8" s="125"/>
      <c r="D8" s="10">
        <v>200</v>
      </c>
      <c r="E8" s="126">
        <v>1000</v>
      </c>
      <c r="F8" s="10">
        <v>1</v>
      </c>
      <c r="G8" s="10">
        <v>0.1</v>
      </c>
      <c r="H8" s="11">
        <v>3383</v>
      </c>
      <c r="I8" s="127"/>
      <c r="J8" s="128"/>
      <c r="K8" s="118"/>
    </row>
    <row r="9" spans="1:12" x14ac:dyDescent="0.2">
      <c r="B9" s="132" t="s">
        <v>61</v>
      </c>
      <c r="C9" s="133"/>
      <c r="D9" s="112">
        <v>200</v>
      </c>
      <c r="E9" s="134">
        <v>50000</v>
      </c>
      <c r="F9" s="114">
        <v>1</v>
      </c>
      <c r="G9" s="114">
        <v>0.1</v>
      </c>
      <c r="H9" s="95">
        <v>5305</v>
      </c>
      <c r="I9" s="135">
        <v>0.9076218242398999</v>
      </c>
      <c r="J9" s="116" t="s">
        <v>116</v>
      </c>
      <c r="K9" s="118"/>
      <c r="L9">
        <f>0.987/I10</f>
        <v>1.0906604381443299</v>
      </c>
    </row>
    <row r="10" spans="1:12" x14ac:dyDescent="0.2">
      <c r="B10" s="82" t="s">
        <v>62</v>
      </c>
      <c r="C10" s="65"/>
      <c r="D10" s="121">
        <v>2000</v>
      </c>
      <c r="E10" s="80">
        <v>50000</v>
      </c>
      <c r="F10" s="3">
        <v>1</v>
      </c>
      <c r="G10" s="3">
        <v>0.1</v>
      </c>
      <c r="H10" s="4">
        <v>4500</v>
      </c>
      <c r="I10" s="120">
        <v>0.90495626822157427</v>
      </c>
      <c r="J10" s="67" t="s">
        <v>116</v>
      </c>
      <c r="K10" s="118"/>
    </row>
    <row r="11" spans="1:12" x14ac:dyDescent="0.2">
      <c r="B11" s="82" t="s">
        <v>63</v>
      </c>
      <c r="C11" s="65"/>
      <c r="D11" s="122">
        <v>20000</v>
      </c>
      <c r="E11" s="80">
        <v>50000</v>
      </c>
      <c r="F11" s="3">
        <v>1</v>
      </c>
      <c r="G11" s="3">
        <v>0.1</v>
      </c>
      <c r="H11" s="4">
        <v>4258</v>
      </c>
      <c r="I11" s="120">
        <v>0.90495626822157427</v>
      </c>
      <c r="J11" s="67" t="s">
        <v>116</v>
      </c>
      <c r="K11" s="118"/>
    </row>
    <row r="12" spans="1:12" x14ac:dyDescent="0.2">
      <c r="A12">
        <v>1</v>
      </c>
      <c r="B12" s="82" t="s">
        <v>64</v>
      </c>
      <c r="C12" s="65"/>
      <c r="D12" s="123">
        <v>200000</v>
      </c>
      <c r="E12" s="80">
        <v>50000</v>
      </c>
      <c r="F12" s="3">
        <v>1</v>
      </c>
      <c r="G12" s="3">
        <v>0.1</v>
      </c>
      <c r="H12" s="4">
        <v>3693</v>
      </c>
      <c r="I12" s="120">
        <v>0.90495626822157427</v>
      </c>
      <c r="J12" s="67" t="s">
        <v>116</v>
      </c>
      <c r="K12" s="151">
        <f>H12/$H$12</f>
        <v>1</v>
      </c>
    </row>
    <row r="13" spans="1:12" ht="17" thickBot="1" x14ac:dyDescent="0.25">
      <c r="B13" s="83" t="s">
        <v>65</v>
      </c>
      <c r="C13" s="68"/>
      <c r="D13" s="136">
        <v>2000000</v>
      </c>
      <c r="E13" s="81">
        <v>50000</v>
      </c>
      <c r="F13" s="79">
        <v>1</v>
      </c>
      <c r="G13" s="79">
        <v>0.1</v>
      </c>
      <c r="H13" s="72">
        <v>3889</v>
      </c>
      <c r="I13" s="137">
        <v>0.90495626822157427</v>
      </c>
      <c r="J13" s="73" t="s">
        <v>116</v>
      </c>
      <c r="K13" s="151"/>
    </row>
    <row r="14" spans="1:12" ht="17" hidden="1" thickBot="1" x14ac:dyDescent="0.25">
      <c r="B14" s="138" t="s">
        <v>66</v>
      </c>
      <c r="C14" s="139"/>
      <c r="D14" s="140">
        <v>2000000</v>
      </c>
      <c r="E14" s="140">
        <v>5000</v>
      </c>
      <c r="F14" s="141">
        <v>1</v>
      </c>
      <c r="G14" s="141">
        <v>0.1</v>
      </c>
      <c r="H14" s="142">
        <v>4155</v>
      </c>
      <c r="I14" s="143"/>
      <c r="J14" s="144"/>
      <c r="K14" s="151">
        <f t="shared" ref="K14:K19" si="0">H14/$H$12</f>
        <v>1.1251015434606011</v>
      </c>
    </row>
    <row r="15" spans="1:12" x14ac:dyDescent="0.2">
      <c r="A15">
        <v>2</v>
      </c>
      <c r="B15" s="132" t="s">
        <v>67</v>
      </c>
      <c r="C15" s="133"/>
      <c r="D15" s="146">
        <v>200000</v>
      </c>
      <c r="E15" s="134">
        <v>50000</v>
      </c>
      <c r="F15" s="113">
        <v>1.2</v>
      </c>
      <c r="G15" s="114">
        <v>0.1</v>
      </c>
      <c r="H15" s="95">
        <v>4129</v>
      </c>
      <c r="I15" s="135">
        <v>0.89162848812994577</v>
      </c>
      <c r="J15" s="116" t="s">
        <v>117</v>
      </c>
      <c r="K15" s="151">
        <f t="shared" si="0"/>
        <v>1.1180611968589222</v>
      </c>
    </row>
    <row r="16" spans="1:12" ht="17" thickBot="1" x14ac:dyDescent="0.25">
      <c r="A16">
        <v>3</v>
      </c>
      <c r="B16" s="83" t="s">
        <v>68</v>
      </c>
      <c r="C16" s="68"/>
      <c r="D16" s="147">
        <v>200000</v>
      </c>
      <c r="E16" s="81">
        <v>50000</v>
      </c>
      <c r="F16" s="70">
        <v>1.5</v>
      </c>
      <c r="G16" s="79">
        <v>0.1</v>
      </c>
      <c r="H16" s="72">
        <v>4319</v>
      </c>
      <c r="I16" s="137">
        <v>0.87163681799250292</v>
      </c>
      <c r="J16" s="73" t="s">
        <v>117</v>
      </c>
      <c r="K16" s="151">
        <f t="shared" si="0"/>
        <v>1.1695098835634985</v>
      </c>
    </row>
    <row r="17" spans="1:12" x14ac:dyDescent="0.2">
      <c r="A17">
        <v>4</v>
      </c>
      <c r="B17" s="129" t="s">
        <v>69</v>
      </c>
      <c r="C17" s="130"/>
      <c r="D17" s="145">
        <v>200000</v>
      </c>
      <c r="E17" s="131">
        <v>50000</v>
      </c>
      <c r="F17" s="75">
        <v>1</v>
      </c>
      <c r="G17" s="74">
        <v>0.2</v>
      </c>
      <c r="H17" s="76">
        <v>3415</v>
      </c>
      <c r="I17" s="119">
        <v>0.83565181174510605</v>
      </c>
      <c r="J17" s="77" t="s">
        <v>118</v>
      </c>
      <c r="K17" s="151">
        <f t="shared" si="0"/>
        <v>0.92472244787435687</v>
      </c>
      <c r="L17">
        <f>I17*$L$9</f>
        <v>0.9114123711340204</v>
      </c>
    </row>
    <row r="18" spans="1:12" x14ac:dyDescent="0.2">
      <c r="A18">
        <v>5</v>
      </c>
      <c r="B18" s="82" t="s">
        <v>70</v>
      </c>
      <c r="C18" s="65"/>
      <c r="D18" s="123">
        <v>200000</v>
      </c>
      <c r="E18" s="80">
        <v>50000</v>
      </c>
      <c r="F18" s="14">
        <v>1.2</v>
      </c>
      <c r="G18" s="14">
        <v>0.2</v>
      </c>
      <c r="H18" s="4">
        <v>3468</v>
      </c>
      <c r="I18" s="120">
        <v>0.82498958767180319</v>
      </c>
      <c r="J18" s="67" t="s">
        <v>118</v>
      </c>
      <c r="K18" s="151">
        <f t="shared" si="0"/>
        <v>0.93907392363931763</v>
      </c>
      <c r="L18">
        <f t="shared" ref="L18:L19" si="1">I18*$L$9</f>
        <v>0.8997835051546389</v>
      </c>
    </row>
    <row r="19" spans="1:12" x14ac:dyDescent="0.2">
      <c r="A19">
        <v>6</v>
      </c>
      <c r="B19" s="82" t="s">
        <v>71</v>
      </c>
      <c r="C19" s="65"/>
      <c r="D19" s="123">
        <v>200000</v>
      </c>
      <c r="E19" s="80">
        <v>50000</v>
      </c>
      <c r="F19" s="66">
        <v>1.5</v>
      </c>
      <c r="G19" s="14">
        <v>0.2</v>
      </c>
      <c r="H19" s="4">
        <v>3528</v>
      </c>
      <c r="I19" s="120">
        <v>0.8116618075801747</v>
      </c>
      <c r="J19" s="67" t="s">
        <v>118</v>
      </c>
      <c r="K19" s="151">
        <f t="shared" si="0"/>
        <v>0.95532087733549964</v>
      </c>
      <c r="L19">
        <f t="shared" si="1"/>
        <v>0.88524742268041212</v>
      </c>
    </row>
    <row r="20" spans="1:12" hidden="1" x14ac:dyDescent="0.2">
      <c r="B20" s="82" t="s">
        <v>72</v>
      </c>
      <c r="C20" s="65"/>
      <c r="D20" s="80">
        <v>250000</v>
      </c>
      <c r="E20" s="80">
        <v>50000</v>
      </c>
      <c r="F20" s="66">
        <v>1.5</v>
      </c>
      <c r="G20" s="14">
        <v>0.2</v>
      </c>
      <c r="H20" s="4">
        <v>3661</v>
      </c>
      <c r="I20" s="120">
        <v>0.8116618075801747</v>
      </c>
      <c r="J20" s="67"/>
      <c r="K20" s="118"/>
    </row>
    <row r="21" spans="1:12" ht="17" hidden="1" thickBot="1" x14ac:dyDescent="0.25">
      <c r="B21" s="83" t="s">
        <v>73</v>
      </c>
      <c r="C21" s="68"/>
      <c r="D21" s="81">
        <v>500000</v>
      </c>
      <c r="E21" s="69">
        <v>50000</v>
      </c>
      <c r="F21" s="70">
        <v>1.5</v>
      </c>
      <c r="G21" s="71">
        <v>0.2</v>
      </c>
      <c r="H21" s="72">
        <v>3656</v>
      </c>
      <c r="I21" s="72"/>
      <c r="J21" s="73"/>
    </row>
  </sheetData>
  <mergeCells count="4">
    <mergeCell ref="J1:J2"/>
    <mergeCell ref="B1:B2"/>
    <mergeCell ref="H1:I1"/>
    <mergeCell ref="D1:G1"/>
  </mergeCells>
  <conditionalFormatting sqref="H3:H21">
    <cfRule type="colorScale" priority="2">
      <colorScale>
        <cfvo type="min"/>
        <cfvo type="max"/>
        <color rgb="FF63BE7B"/>
        <color rgb="FFFFEF9C"/>
      </colorScale>
    </cfRule>
  </conditionalFormatting>
  <conditionalFormatting sqref="I3:I21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A3F1-21CD-AA4B-AECD-C5F8767E714F}">
  <dimension ref="B1:I13"/>
  <sheetViews>
    <sheetView showGridLines="0" workbookViewId="0">
      <selection activeCell="E5" sqref="E5"/>
    </sheetView>
  </sheetViews>
  <sheetFormatPr baseColWidth="10" defaultRowHeight="16" x14ac:dyDescent="0.2"/>
  <cols>
    <col min="2" max="2" width="19.33203125" customWidth="1"/>
    <col min="4" max="5" width="35.83203125" bestFit="1" customWidth="1"/>
    <col min="6" max="6" width="37" bestFit="1" customWidth="1"/>
  </cols>
  <sheetData>
    <row r="1" spans="2:9" ht="17" thickBot="1" x14ac:dyDescent="0.25">
      <c r="B1" s="1"/>
      <c r="C1" s="1"/>
      <c r="D1" s="1"/>
      <c r="E1" s="1"/>
      <c r="F1" s="1"/>
      <c r="G1" s="1"/>
      <c r="H1" s="1"/>
      <c r="I1" s="1"/>
    </row>
    <row r="2" spans="2:9" x14ac:dyDescent="0.2">
      <c r="B2" s="1"/>
      <c r="C2" s="1"/>
      <c r="D2" s="178" t="s">
        <v>42</v>
      </c>
      <c r="E2" s="203"/>
      <c r="F2" s="204"/>
      <c r="G2" s="1"/>
      <c r="H2" s="1"/>
      <c r="I2" s="1"/>
    </row>
    <row r="3" spans="2:9" ht="17" thickBot="1" x14ac:dyDescent="0.25">
      <c r="B3" s="1"/>
      <c r="C3" s="1"/>
      <c r="D3" s="23" t="s">
        <v>43</v>
      </c>
      <c r="E3" s="30" t="s">
        <v>44</v>
      </c>
      <c r="F3" s="31" t="s">
        <v>45</v>
      </c>
      <c r="G3" s="1"/>
      <c r="H3" s="1"/>
      <c r="I3" s="1"/>
    </row>
    <row r="4" spans="2:9" x14ac:dyDescent="0.2">
      <c r="B4" s="178" t="s">
        <v>48</v>
      </c>
      <c r="C4" s="32" t="s">
        <v>46</v>
      </c>
      <c r="D4" s="33" t="s">
        <v>28</v>
      </c>
      <c r="E4" s="34" t="s">
        <v>25</v>
      </c>
      <c r="F4" s="35" t="s">
        <v>29</v>
      </c>
      <c r="G4" s="1"/>
      <c r="H4" s="1"/>
      <c r="I4" s="1"/>
    </row>
    <row r="5" spans="2:9" x14ac:dyDescent="0.2">
      <c r="B5" s="205"/>
      <c r="C5" s="24" t="s">
        <v>44</v>
      </c>
      <c r="D5" s="25" t="s">
        <v>36</v>
      </c>
      <c r="E5" s="22" t="s">
        <v>38</v>
      </c>
      <c r="F5" s="26" t="s">
        <v>40</v>
      </c>
      <c r="G5" s="1"/>
      <c r="H5" s="1"/>
      <c r="I5" s="1"/>
    </row>
    <row r="6" spans="2:9" ht="17" thickBot="1" x14ac:dyDescent="0.25">
      <c r="B6" s="202"/>
      <c r="C6" s="36" t="s">
        <v>47</v>
      </c>
      <c r="D6" s="27" t="s">
        <v>37</v>
      </c>
      <c r="E6" s="28" t="s">
        <v>39</v>
      </c>
      <c r="F6" s="29" t="s">
        <v>41</v>
      </c>
      <c r="G6" s="1"/>
      <c r="H6" s="1"/>
      <c r="I6" s="1"/>
    </row>
    <row r="7" spans="2:9" x14ac:dyDescent="0.2">
      <c r="B7" s="1"/>
      <c r="C7" s="1"/>
      <c r="D7" s="1"/>
      <c r="E7" s="1"/>
      <c r="F7" s="1"/>
      <c r="G7" s="1"/>
      <c r="H7" s="1"/>
      <c r="I7" s="1"/>
    </row>
    <row r="8" spans="2:9" x14ac:dyDescent="0.2">
      <c r="B8" s="1"/>
      <c r="C8" s="1"/>
      <c r="D8" s="1"/>
      <c r="E8" s="1"/>
      <c r="F8" s="1"/>
      <c r="G8" s="1"/>
      <c r="H8" s="1"/>
      <c r="I8" s="1"/>
    </row>
    <row r="9" spans="2:9" x14ac:dyDescent="0.2">
      <c r="B9" s="1"/>
      <c r="C9" s="1"/>
      <c r="D9" s="1"/>
      <c r="E9" s="1"/>
      <c r="F9" s="1"/>
      <c r="G9" s="1"/>
      <c r="H9" s="1"/>
      <c r="I9" s="1"/>
    </row>
    <row r="10" spans="2:9" x14ac:dyDescent="0.2">
      <c r="B10" s="1"/>
      <c r="C10" s="1"/>
      <c r="D10" s="1"/>
      <c r="E10" s="1"/>
      <c r="F10" s="1"/>
      <c r="G10" s="1"/>
      <c r="H10" s="1"/>
      <c r="I10" s="1"/>
    </row>
    <row r="11" spans="2:9" x14ac:dyDescent="0.2">
      <c r="B11" s="1"/>
      <c r="C11" s="1"/>
      <c r="D11" s="1"/>
      <c r="E11" s="1"/>
      <c r="F11" s="1"/>
      <c r="G11" s="1"/>
      <c r="H11" s="1"/>
      <c r="I11" s="1"/>
    </row>
    <row r="12" spans="2:9" x14ac:dyDescent="0.2">
      <c r="B12" s="1"/>
      <c r="C12" s="1"/>
      <c r="D12" s="1"/>
      <c r="E12" s="1"/>
      <c r="F12" s="1"/>
      <c r="G12" s="1"/>
      <c r="H12" s="1"/>
      <c r="I12" s="1"/>
    </row>
    <row r="13" spans="2:9" x14ac:dyDescent="0.2">
      <c r="B13" s="1"/>
      <c r="C13" s="1"/>
      <c r="D13" s="1"/>
      <c r="E13" s="1"/>
    </row>
  </sheetData>
  <mergeCells count="2">
    <mergeCell ref="D2:F2"/>
    <mergeCell ref="B4:B6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5E0-485E-2746-A890-F70B2ECD9283}">
  <dimension ref="B1:L25"/>
  <sheetViews>
    <sheetView showGridLines="0" workbookViewId="0"/>
  </sheetViews>
  <sheetFormatPr baseColWidth="10" defaultRowHeight="16" x14ac:dyDescent="0.2"/>
  <cols>
    <col min="2" max="2" width="21" customWidth="1"/>
    <col min="4" max="6" width="20.83203125" customWidth="1"/>
    <col min="8" max="8" width="20.33203125" customWidth="1"/>
    <col min="9" max="12" width="15.1640625" customWidth="1"/>
  </cols>
  <sheetData>
    <row r="1" spans="2:12" ht="17" thickBot="1" x14ac:dyDescent="0.25">
      <c r="B1" s="1"/>
      <c r="C1" s="1"/>
      <c r="D1" s="1"/>
      <c r="E1" s="1"/>
      <c r="F1" s="1"/>
      <c r="G1" s="1"/>
    </row>
    <row r="2" spans="2:12" x14ac:dyDescent="0.2">
      <c r="B2" s="214" t="s">
        <v>49</v>
      </c>
      <c r="C2" s="215"/>
      <c r="D2" s="178" t="s">
        <v>42</v>
      </c>
      <c r="E2" s="203"/>
      <c r="F2" s="204"/>
      <c r="G2" s="1"/>
    </row>
    <row r="3" spans="2:12" ht="17" thickBot="1" x14ac:dyDescent="0.25">
      <c r="B3" s="216"/>
      <c r="C3" s="217"/>
      <c r="D3" s="23" t="s">
        <v>43</v>
      </c>
      <c r="E3" s="30" t="s">
        <v>44</v>
      </c>
      <c r="F3" s="31" t="s">
        <v>45</v>
      </c>
      <c r="G3" s="1"/>
    </row>
    <row r="4" spans="2:12" ht="25" customHeight="1" x14ac:dyDescent="0.2">
      <c r="B4" s="178" t="s">
        <v>48</v>
      </c>
      <c r="C4" s="32" t="s">
        <v>46</v>
      </c>
      <c r="D4" s="60">
        <f>_xlfn.XLOOKUP(Legend!D4,'Mesh Analysis'!$B$3:$B$32,'Mesh Analysis'!$R$3:$R$32)/60</f>
        <v>7</v>
      </c>
      <c r="E4" s="61">
        <f>_xlfn.XLOOKUP(Legend!E4,'Mesh Analysis'!$B$3:$B$32,'Mesh Analysis'!$R$3:$R$32)/60</f>
        <v>39.216666666666669</v>
      </c>
      <c r="F4" s="62">
        <f>_xlfn.XLOOKUP(Legend!F4,'Mesh Analysis'!$B$3:$B$32,'Mesh Analysis'!$R$3:$R$32)/60</f>
        <v>337.31666666666666</v>
      </c>
      <c r="G4" s="1"/>
      <c r="H4" s="105">
        <f t="shared" ref="H4:H5" si="0">D4/$D$6</f>
        <v>2.1649484536082473</v>
      </c>
      <c r="I4" s="105">
        <f t="shared" ref="I4:I5" si="1">E4/$D$6</f>
        <v>12.128865979381443</v>
      </c>
      <c r="J4" s="105">
        <f t="shared" ref="J4:J5" si="2">F4/$D$6</f>
        <v>104.32474226804123</v>
      </c>
    </row>
    <row r="5" spans="2:12" ht="25" customHeight="1" x14ac:dyDescent="0.2">
      <c r="B5" s="205"/>
      <c r="C5" s="24" t="s">
        <v>44</v>
      </c>
      <c r="D5" s="63">
        <f>_xlfn.XLOOKUP(Legend!D5,'Mesh Analysis'!$B$3:$B$32,'Mesh Analysis'!$R$3:$R$32)/60</f>
        <v>4.7333333333333334</v>
      </c>
      <c r="E5" s="51">
        <f>_xlfn.XLOOKUP(Legend!E5,'Mesh Analysis'!$B$3:$B$32,'Mesh Analysis'!$R$3:$R$32)/60</f>
        <v>26.183333333333334</v>
      </c>
      <c r="F5" s="37">
        <f>_xlfn.XLOOKUP(Legend!F5,'Mesh Analysis'!$B$3:$B$32,'Mesh Analysis'!$R$3:$R$32)/60</f>
        <v>203.01666666666668</v>
      </c>
      <c r="G5" s="1"/>
      <c r="H5" s="105">
        <f t="shared" si="0"/>
        <v>1.4639175257731958</v>
      </c>
      <c r="I5" s="105">
        <f t="shared" si="1"/>
        <v>8.0979381443298966</v>
      </c>
      <c r="J5" s="105">
        <f t="shared" si="2"/>
        <v>62.788659793814439</v>
      </c>
    </row>
    <row r="6" spans="2:12" ht="25" customHeight="1" thickBot="1" x14ac:dyDescent="0.25">
      <c r="B6" s="202"/>
      <c r="C6" s="36" t="s">
        <v>47</v>
      </c>
      <c r="D6" s="64">
        <f>_xlfn.XLOOKUP(Legend!D6,'Mesh Analysis'!$B$3:$B$32,'Mesh Analysis'!$R$3:$R$32)/60</f>
        <v>3.2333333333333334</v>
      </c>
      <c r="E6" s="38">
        <f>_xlfn.XLOOKUP(Legend!E6,'Mesh Analysis'!$B$3:$B$32,'Mesh Analysis'!$R$3:$R$32)/60</f>
        <v>16.8</v>
      </c>
      <c r="F6" s="39">
        <f>_xlfn.XLOOKUP(Legend!F6,'Mesh Analysis'!$B$3:$B$32,'Mesh Analysis'!$R$3:$R$32)/60</f>
        <v>118.43333333333334</v>
      </c>
      <c r="G6" s="1"/>
      <c r="H6" s="105">
        <f>D6/$D$6</f>
        <v>1</v>
      </c>
      <c r="I6" s="105">
        <f t="shared" ref="I6:J6" si="3">E6/$D$6</f>
        <v>5.195876288659794</v>
      </c>
      <c r="J6" s="105">
        <f t="shared" si="3"/>
        <v>36.628865979381445</v>
      </c>
    </row>
    <row r="7" spans="2:12" x14ac:dyDescent="0.2">
      <c r="B7" s="1"/>
      <c r="C7" s="1"/>
      <c r="D7" s="1"/>
      <c r="E7" s="1"/>
      <c r="F7" s="1"/>
      <c r="G7" s="1"/>
    </row>
    <row r="8" spans="2:12" ht="17" thickBot="1" x14ac:dyDescent="0.25">
      <c r="B8" s="1"/>
      <c r="C8" s="1"/>
      <c r="D8" s="1"/>
      <c r="E8" s="1"/>
      <c r="F8" s="1"/>
      <c r="G8" s="1"/>
    </row>
    <row r="9" spans="2:12" x14ac:dyDescent="0.2">
      <c r="B9" s="206" t="s">
        <v>50</v>
      </c>
      <c r="C9" s="207"/>
      <c r="D9" s="178" t="s">
        <v>42</v>
      </c>
      <c r="E9" s="203"/>
      <c r="F9" s="204"/>
      <c r="H9" s="206" t="s">
        <v>50</v>
      </c>
      <c r="I9" s="207"/>
      <c r="J9" s="178" t="s">
        <v>42</v>
      </c>
      <c r="K9" s="203"/>
      <c r="L9" s="204"/>
    </row>
    <row r="10" spans="2:12" ht="17" thickBot="1" x14ac:dyDescent="0.25">
      <c r="B10" s="208"/>
      <c r="C10" s="209"/>
      <c r="D10" s="23" t="s">
        <v>43</v>
      </c>
      <c r="E10" s="30" t="s">
        <v>44</v>
      </c>
      <c r="F10" s="31" t="s">
        <v>45</v>
      </c>
      <c r="H10" s="208"/>
      <c r="I10" s="209"/>
      <c r="J10" s="23" t="s">
        <v>43</v>
      </c>
      <c r="K10" s="30" t="s">
        <v>44</v>
      </c>
      <c r="L10" s="31" t="s">
        <v>45</v>
      </c>
    </row>
    <row r="11" spans="2:12" ht="25" customHeight="1" x14ac:dyDescent="0.2">
      <c r="B11" s="178" t="s">
        <v>48</v>
      </c>
      <c r="C11" s="32" t="s">
        <v>46</v>
      </c>
      <c r="D11" s="42">
        <f>_xlfn.XLOOKUP(Legend!D4,'Mesh Analysis'!$B$3:$B$32,'Mesh Analysis'!$S$3:$S$32)</f>
        <v>0.85899999999999999</v>
      </c>
      <c r="E11" s="43">
        <f>_xlfn.XLOOKUP(Legend!E4,'Mesh Analysis'!$B$3:$B$32,'Mesh Analysis'!$S$3:$S$32)</f>
        <v>0.88700000000000001</v>
      </c>
      <c r="F11" s="44">
        <f>_xlfn.XLOOKUP(Legend!F4,'Mesh Analysis'!$B$3:$B$32,'Mesh Analysis'!$S$3:$S$32)</f>
        <v>0.877</v>
      </c>
      <c r="H11" s="178" t="s">
        <v>48</v>
      </c>
      <c r="I11" s="32" t="s">
        <v>46</v>
      </c>
      <c r="J11" s="42">
        <f t="shared" ref="J11:K11" si="4">ABS(D11-$F$11)+$F$11</f>
        <v>0.89500000000000002</v>
      </c>
      <c r="K11" s="43">
        <f t="shared" si="4"/>
        <v>0.88700000000000001</v>
      </c>
      <c r="L11" s="44">
        <f>ABS(F11-$F$11)+$F$11</f>
        <v>0.877</v>
      </c>
    </row>
    <row r="12" spans="2:12" ht="25" customHeight="1" x14ac:dyDescent="0.2">
      <c r="B12" s="205"/>
      <c r="C12" s="24" t="s">
        <v>44</v>
      </c>
      <c r="D12" s="45">
        <f>_xlfn.XLOOKUP(Legend!D5,'Mesh Analysis'!$B$3:$B$32,'Mesh Analysis'!$S$3:$S$32)</f>
        <v>0.86299999999999999</v>
      </c>
      <c r="E12" s="50">
        <f>_xlfn.XLOOKUP(Legend!E5,'Mesh Analysis'!$B$3:$B$32,'Mesh Analysis'!$S$3:$S$32)</f>
        <v>0.89</v>
      </c>
      <c r="F12" s="46">
        <f>_xlfn.XLOOKUP(Legend!F5,'Mesh Analysis'!$B$3:$B$32,'Mesh Analysis'!$S$3:$S$32)</f>
        <v>0.88900000000000001</v>
      </c>
      <c r="H12" s="205"/>
      <c r="I12" s="24" t="s">
        <v>44</v>
      </c>
      <c r="J12" s="45">
        <f t="shared" ref="J12:J13" si="5">ABS(D12-$F$11)+$F$11</f>
        <v>0.89100000000000001</v>
      </c>
      <c r="K12" s="41">
        <f t="shared" ref="K12:K13" si="6">ABS(E12-$F$11)+$F$11</f>
        <v>0.89</v>
      </c>
      <c r="L12" s="46">
        <f t="shared" ref="L12:L13" si="7">ABS(F12-$F$11)+$F$11</f>
        <v>0.88900000000000001</v>
      </c>
    </row>
    <row r="13" spans="2:12" ht="25" customHeight="1" thickBot="1" x14ac:dyDescent="0.25">
      <c r="B13" s="202"/>
      <c r="C13" s="36" t="s">
        <v>47</v>
      </c>
      <c r="D13" s="47">
        <f>_xlfn.XLOOKUP(Legend!D6,'Mesh Analysis'!$B$3:$B$32,'Mesh Analysis'!$S$3:$S$32)</f>
        <v>0.91200000000000003</v>
      </c>
      <c r="E13" s="48">
        <f>_xlfn.XLOOKUP(Legend!E6,'Mesh Analysis'!$B$3:$B$32,'Mesh Analysis'!$S$3:$S$32)</f>
        <v>0.92800000000000005</v>
      </c>
      <c r="F13" s="49">
        <f>_xlfn.XLOOKUP(Legend!F6,'Mesh Analysis'!$B$3:$B$32,'Mesh Analysis'!$S$3:$S$32)</f>
        <v>0.92100000000000004</v>
      </c>
      <c r="H13" s="202"/>
      <c r="I13" s="36" t="s">
        <v>47</v>
      </c>
      <c r="J13" s="47">
        <f t="shared" si="5"/>
        <v>0.91200000000000003</v>
      </c>
      <c r="K13" s="48">
        <f t="shared" si="6"/>
        <v>0.92800000000000005</v>
      </c>
      <c r="L13" s="49">
        <f t="shared" si="7"/>
        <v>0.92100000000000004</v>
      </c>
    </row>
    <row r="15" spans="2:12" ht="17" thickBot="1" x14ac:dyDescent="0.25"/>
    <row r="16" spans="2:12" x14ac:dyDescent="0.2">
      <c r="B16" s="210" t="s">
        <v>51</v>
      </c>
      <c r="C16" s="211"/>
      <c r="D16" s="178" t="s">
        <v>42</v>
      </c>
      <c r="E16" s="203"/>
      <c r="F16" s="204"/>
    </row>
    <row r="17" spans="2:6" ht="17" thickBot="1" x14ac:dyDescent="0.25">
      <c r="B17" s="212"/>
      <c r="C17" s="213"/>
      <c r="D17" s="23" t="s">
        <v>43</v>
      </c>
      <c r="E17" s="30" t="s">
        <v>44</v>
      </c>
      <c r="F17" s="31" t="s">
        <v>45</v>
      </c>
    </row>
    <row r="18" spans="2:6" ht="25" customHeight="1" x14ac:dyDescent="0.2">
      <c r="B18" s="178" t="s">
        <v>48</v>
      </c>
      <c r="C18" s="32" t="s">
        <v>46</v>
      </c>
      <c r="D18" s="52">
        <f>_xlfn.XLOOKUP(Legend!D4,'Mesh Analysis'!$B$3:$B$32,'Mesh Analysis'!$T$3:$T$32)</f>
        <v>0</v>
      </c>
      <c r="E18" s="53">
        <f>_xlfn.XLOOKUP(Legend!E4,'Mesh Analysis'!$B$3:$B$32,'Mesh Analysis'!$T$3:$T$32)</f>
        <v>0.3</v>
      </c>
      <c r="F18" s="54">
        <f>_xlfn.XLOOKUP(Legend!F4,'Mesh Analysis'!$B$3:$B$32,'Mesh Analysis'!$T$3:$T$32)</f>
        <v>0</v>
      </c>
    </row>
    <row r="19" spans="2:6" ht="25" customHeight="1" x14ac:dyDescent="0.2">
      <c r="B19" s="205"/>
      <c r="C19" s="24" t="s">
        <v>44</v>
      </c>
      <c r="D19" s="55">
        <f>_xlfn.XLOOKUP(Legend!D5,'Mesh Analysis'!$B$3:$B$32,'Mesh Analysis'!$T$3:$T$32)</f>
        <v>0</v>
      </c>
      <c r="E19" s="40">
        <f>_xlfn.XLOOKUP(Legend!E5,'Mesh Analysis'!$B$3:$B$32,'Mesh Analysis'!$T$3:$T$32)</f>
        <v>0.3</v>
      </c>
      <c r="F19" s="56">
        <f>_xlfn.XLOOKUP(Legend!F5,'Mesh Analysis'!$B$3:$B$32,'Mesh Analysis'!$T$3:$T$32)</f>
        <v>0</v>
      </c>
    </row>
    <row r="20" spans="2:6" ht="25" customHeight="1" thickBot="1" x14ac:dyDescent="0.25">
      <c r="B20" s="202"/>
      <c r="C20" s="36" t="s">
        <v>47</v>
      </c>
      <c r="D20" s="57">
        <f>_xlfn.XLOOKUP(Legend!D6,'Mesh Analysis'!$B$3:$B$32,'Mesh Analysis'!$T$3:$T$32)</f>
        <v>0</v>
      </c>
      <c r="E20" s="58">
        <f>_xlfn.XLOOKUP(Legend!E6,'Mesh Analysis'!$B$3:$B$32,'Mesh Analysis'!$T$3:$T$32)</f>
        <v>0.3</v>
      </c>
      <c r="F20" s="59">
        <f>_xlfn.XLOOKUP(Legend!F6,'Mesh Analysis'!$B$3:$B$32,'Mesh Analysis'!$T$3:$T$32)</f>
        <v>0</v>
      </c>
    </row>
    <row r="23" spans="2:6" x14ac:dyDescent="0.2">
      <c r="D23" s="104">
        <f>D11*2/(1.225*1.225)</f>
        <v>1.1448563098708868</v>
      </c>
      <c r="E23" s="104">
        <f t="shared" ref="E23:F23" si="8">E11*2/(1.225*1.225)</f>
        <v>1.1821740941274466</v>
      </c>
      <c r="F23" s="104">
        <f t="shared" si="8"/>
        <v>1.1688463140358181</v>
      </c>
    </row>
    <row r="24" spans="2:6" x14ac:dyDescent="0.2">
      <c r="D24" s="104">
        <f t="shared" ref="D24:F24" si="9">D12*2/(1.225*1.225)</f>
        <v>1.1501874219075383</v>
      </c>
      <c r="E24" s="104">
        <f t="shared" si="9"/>
        <v>1.1861724281549353</v>
      </c>
      <c r="F24" s="104">
        <f t="shared" si="9"/>
        <v>1.1848396501457723</v>
      </c>
    </row>
    <row r="25" spans="2:6" x14ac:dyDescent="0.2">
      <c r="D25" s="104">
        <f t="shared" ref="D25:F25" si="10">D13*2/(1.225*1.225)</f>
        <v>1.2154935443565178</v>
      </c>
      <c r="E25" s="104">
        <f t="shared" si="10"/>
        <v>1.2368179925031235</v>
      </c>
      <c r="F25" s="104">
        <f t="shared" si="10"/>
        <v>1.2274885464389835</v>
      </c>
    </row>
  </sheetData>
  <mergeCells count="12">
    <mergeCell ref="B18:B20"/>
    <mergeCell ref="D2:F2"/>
    <mergeCell ref="B4:B6"/>
    <mergeCell ref="B2:C3"/>
    <mergeCell ref="B9:C10"/>
    <mergeCell ref="D9:F9"/>
    <mergeCell ref="B11:B13"/>
    <mergeCell ref="H9:I10"/>
    <mergeCell ref="J9:L9"/>
    <mergeCell ref="H11:H13"/>
    <mergeCell ref="B16:C17"/>
    <mergeCell ref="D16:F16"/>
  </mergeCells>
  <conditionalFormatting sqref="D4:F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num" val="MIN($D$4:$F$6)"/>
        <cfvo type="num" val="MAX($D$4:$F$6)"/>
        <color theme="9"/>
        <color rgb="FFFF0000"/>
      </colorScale>
    </cfRule>
  </conditionalFormatting>
  <conditionalFormatting sqref="D11:F13">
    <cfRule type="colorScale" priority="1">
      <colorScale>
        <cfvo type="num" val="$F$11-ABS(MAX($D$11:$F$13-$F$11))"/>
        <cfvo type="num" val="$F$11"/>
        <cfvo type="num" val="$F$11+ABS(MAX($D$11:$F$13-$F$11))"/>
        <color rgb="FF5A8AC6"/>
        <color rgb="FFFCFCFF"/>
        <color rgb="FFF8696B"/>
      </colorScale>
    </cfRule>
    <cfRule type="colorScale" priority="3">
      <colorScale>
        <cfvo type="min"/>
        <cfvo type="max"/>
        <color rgb="FF63BE7B"/>
        <color rgb="FFFFEF9C"/>
      </colorScale>
    </cfRule>
  </conditionalFormatting>
  <conditionalFormatting sqref="H18">
    <cfRule type="colorScale" priority="2">
      <colorScale>
        <cfvo type="min"/>
        <cfvo type="max"/>
        <color rgb="FFFFEF9C"/>
        <color rgb="FF63BE7B"/>
      </colorScale>
    </cfRule>
  </conditionalFormatting>
  <conditionalFormatting sqref="J11:L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num" val="MAX($J$11:$L$13)"/>
        <cfvo type="num" val="$L$11"/>
        <color rgb="FFFF7128"/>
        <color rgb="FFFFEF9C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</vt:lpstr>
      <vt:lpstr>Train</vt:lpstr>
      <vt:lpstr>Mesh Analysis</vt:lpstr>
      <vt:lpstr>Control</vt:lpstr>
      <vt:lpstr>Legend</vt:lpstr>
      <vt:lpstr>Convergence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Laerte Adami</dc:creator>
  <cp:lastModifiedBy>PG-Adami, Laerte</cp:lastModifiedBy>
  <dcterms:created xsi:type="dcterms:W3CDTF">2023-06-16T13:03:27Z</dcterms:created>
  <dcterms:modified xsi:type="dcterms:W3CDTF">2023-09-29T14:24:22Z</dcterms:modified>
</cp:coreProperties>
</file>